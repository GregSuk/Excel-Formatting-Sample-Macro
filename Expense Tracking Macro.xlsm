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regsuk1/Documents/Git/Excel/Excel-Formatting-Sample-Macro/"/>
    </mc:Choice>
  </mc:AlternateContent>
  <bookViews>
    <workbookView xWindow="0" yWindow="460" windowWidth="24740" windowHeight="17460"/>
  </bookViews>
  <sheets>
    <sheet name="Cashflow" sheetId="9" r:id="rId1"/>
    <sheet name="Expense Data" sheetId="1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" i="9" l="1"/>
  <c r="I196" i="9"/>
  <c r="I197" i="9"/>
  <c r="I198" i="9"/>
  <c r="I199" i="9"/>
  <c r="I201" i="9"/>
  <c r="I202" i="9"/>
  <c r="I203" i="9"/>
  <c r="I204" i="9"/>
  <c r="I206" i="9"/>
  <c r="I207" i="9"/>
  <c r="I208" i="9"/>
  <c r="I209" i="9"/>
  <c r="I211" i="9"/>
  <c r="I212" i="9"/>
  <c r="I213" i="9"/>
  <c r="I214" i="9"/>
  <c r="I216" i="9"/>
  <c r="I217" i="9"/>
  <c r="I218" i="9"/>
  <c r="I220" i="9"/>
  <c r="K220" i="9"/>
  <c r="L220" i="9"/>
  <c r="I165" i="9"/>
  <c r="K165" i="9"/>
  <c r="I166" i="9"/>
  <c r="K166" i="9"/>
  <c r="I170" i="9"/>
  <c r="K170" i="9"/>
  <c r="I171" i="9"/>
  <c r="K171" i="9"/>
  <c r="I175" i="9"/>
  <c r="K175" i="9"/>
  <c r="I176" i="9"/>
  <c r="K176" i="9"/>
  <c r="I180" i="9"/>
  <c r="K180" i="9"/>
  <c r="I181" i="9"/>
  <c r="K181" i="9"/>
  <c r="I185" i="9"/>
  <c r="K185" i="9"/>
  <c r="I186" i="9"/>
  <c r="K186" i="9"/>
  <c r="I190" i="9"/>
  <c r="K190" i="9"/>
  <c r="I191" i="9"/>
  <c r="K191" i="9"/>
  <c r="I168" i="9"/>
  <c r="I172" i="9"/>
  <c r="I177" i="9"/>
  <c r="I182" i="9"/>
  <c r="I187" i="9"/>
  <c r="I192" i="9"/>
  <c r="K192" i="9"/>
  <c r="I173" i="9"/>
  <c r="I178" i="9"/>
  <c r="I183" i="9"/>
  <c r="I188" i="9"/>
  <c r="I193" i="9"/>
  <c r="K193" i="9"/>
  <c r="K194" i="9"/>
  <c r="L194" i="9"/>
  <c r="I139" i="9"/>
  <c r="K139" i="9"/>
  <c r="I140" i="9"/>
  <c r="K140" i="9"/>
  <c r="I144" i="9"/>
  <c r="K144" i="9"/>
  <c r="I145" i="9"/>
  <c r="K145" i="9"/>
  <c r="I149" i="9"/>
  <c r="K149" i="9"/>
  <c r="I150" i="9"/>
  <c r="K150" i="9"/>
  <c r="I154" i="9"/>
  <c r="K154" i="9"/>
  <c r="I155" i="9"/>
  <c r="K155" i="9"/>
  <c r="I159" i="9"/>
  <c r="K159" i="9"/>
  <c r="I160" i="9"/>
  <c r="K160" i="9"/>
  <c r="I141" i="9"/>
  <c r="I146" i="9"/>
  <c r="I151" i="9"/>
  <c r="I156" i="9"/>
  <c r="I161" i="9"/>
  <c r="K161" i="9"/>
  <c r="I142" i="9"/>
  <c r="I147" i="9"/>
  <c r="I152" i="9"/>
  <c r="I157" i="9"/>
  <c r="I162" i="9"/>
  <c r="K162" i="9"/>
  <c r="K163" i="9"/>
  <c r="L163" i="9"/>
  <c r="I108" i="9"/>
  <c r="K108" i="9"/>
  <c r="I109" i="9"/>
  <c r="K109" i="9"/>
  <c r="I113" i="9"/>
  <c r="K113" i="9"/>
  <c r="I114" i="9"/>
  <c r="K114" i="9"/>
  <c r="I118" i="9"/>
  <c r="K118" i="9"/>
  <c r="I119" i="9"/>
  <c r="K119" i="9"/>
  <c r="I123" i="9"/>
  <c r="K123" i="9"/>
  <c r="I124" i="9"/>
  <c r="K124" i="9"/>
  <c r="I128" i="9"/>
  <c r="K128" i="9"/>
  <c r="I129" i="9"/>
  <c r="K129" i="9"/>
  <c r="I133" i="9"/>
  <c r="K133" i="9"/>
  <c r="I134" i="9"/>
  <c r="K134" i="9"/>
  <c r="I115" i="9"/>
  <c r="I120" i="9"/>
  <c r="I125" i="9"/>
  <c r="I130" i="9"/>
  <c r="I135" i="9"/>
  <c r="K135" i="9"/>
  <c r="I111" i="9"/>
  <c r="I116" i="9"/>
  <c r="I121" i="9"/>
  <c r="I126" i="9"/>
  <c r="I131" i="9"/>
  <c r="I136" i="9"/>
  <c r="K136" i="9"/>
  <c r="K137" i="9"/>
  <c r="L137" i="9"/>
  <c r="I82" i="9"/>
  <c r="K82" i="9"/>
  <c r="I83" i="9"/>
  <c r="K83" i="9"/>
  <c r="I87" i="9"/>
  <c r="K87" i="9"/>
  <c r="I88" i="9"/>
  <c r="K88" i="9"/>
  <c r="I92" i="9"/>
  <c r="K92" i="9"/>
  <c r="I93" i="9"/>
  <c r="K93" i="9"/>
  <c r="I97" i="9"/>
  <c r="K97" i="9"/>
  <c r="I98" i="9"/>
  <c r="K98" i="9"/>
  <c r="I102" i="9"/>
  <c r="K102" i="9"/>
  <c r="I103" i="9"/>
  <c r="K103" i="9"/>
  <c r="I84" i="9"/>
  <c r="I89" i="9"/>
  <c r="I94" i="9"/>
  <c r="I99" i="9"/>
  <c r="I104" i="9"/>
  <c r="K104" i="9"/>
  <c r="I85" i="9"/>
  <c r="I90" i="9"/>
  <c r="I95" i="9"/>
  <c r="I100" i="9"/>
  <c r="I105" i="9"/>
  <c r="K105" i="9"/>
  <c r="K106" i="9"/>
  <c r="L106" i="9"/>
  <c r="I56" i="9"/>
  <c r="K56" i="9"/>
  <c r="I57" i="9"/>
  <c r="K57" i="9"/>
  <c r="I61" i="9"/>
  <c r="K61" i="9"/>
  <c r="I62" i="9"/>
  <c r="K62" i="9"/>
  <c r="I66" i="9"/>
  <c r="K66" i="9"/>
  <c r="I67" i="9"/>
  <c r="K67" i="9"/>
  <c r="I71" i="9"/>
  <c r="K71" i="9"/>
  <c r="I72" i="9"/>
  <c r="K72" i="9"/>
  <c r="I76" i="9"/>
  <c r="K76" i="9"/>
  <c r="I77" i="9"/>
  <c r="K77" i="9"/>
  <c r="I58" i="9"/>
  <c r="I63" i="9"/>
  <c r="I68" i="9"/>
  <c r="I73" i="9"/>
  <c r="I78" i="9"/>
  <c r="K78" i="9"/>
  <c r="I59" i="9"/>
  <c r="I64" i="9"/>
  <c r="I69" i="9"/>
  <c r="I74" i="9"/>
  <c r="I79" i="9"/>
  <c r="K79" i="9"/>
  <c r="K80" i="9"/>
  <c r="L80" i="9"/>
  <c r="I30" i="9"/>
  <c r="K30" i="9"/>
  <c r="I31" i="9"/>
  <c r="K31" i="9"/>
  <c r="I35" i="9"/>
  <c r="K35" i="9"/>
  <c r="I36" i="9"/>
  <c r="K36" i="9"/>
  <c r="I40" i="9"/>
  <c r="K40" i="9"/>
  <c r="I41" i="9"/>
  <c r="K41" i="9"/>
  <c r="I45" i="9"/>
  <c r="K45" i="9"/>
  <c r="I46" i="9"/>
  <c r="K46" i="9"/>
  <c r="I50" i="9"/>
  <c r="K50" i="9"/>
  <c r="I51" i="9"/>
  <c r="K51" i="9"/>
  <c r="I32" i="9"/>
  <c r="I37" i="9"/>
  <c r="I42" i="9"/>
  <c r="I47" i="9"/>
  <c r="I52" i="9"/>
  <c r="K52" i="9"/>
  <c r="I33" i="9"/>
  <c r="I38" i="9"/>
  <c r="I43" i="9"/>
  <c r="I48" i="9"/>
  <c r="I53" i="9"/>
  <c r="K53" i="9"/>
  <c r="K54" i="9"/>
  <c r="L54" i="9"/>
  <c r="I305" i="9"/>
  <c r="K305" i="9"/>
  <c r="I306" i="9"/>
  <c r="K306" i="9"/>
  <c r="I310" i="9"/>
  <c r="K310" i="9"/>
  <c r="I311" i="9"/>
  <c r="K311" i="9"/>
  <c r="I315" i="9"/>
  <c r="K315" i="9"/>
  <c r="I316" i="9"/>
  <c r="K316" i="9"/>
  <c r="I320" i="9"/>
  <c r="K320" i="9"/>
  <c r="I321" i="9"/>
  <c r="K321" i="9"/>
  <c r="I325" i="9"/>
  <c r="K325" i="9"/>
  <c r="I326" i="9"/>
  <c r="K326" i="9"/>
  <c r="I307" i="9"/>
  <c r="I312" i="9"/>
  <c r="I317" i="9"/>
  <c r="I322" i="9"/>
  <c r="I327" i="9"/>
  <c r="K327" i="9"/>
  <c r="I308" i="9"/>
  <c r="I313" i="9"/>
  <c r="I318" i="9"/>
  <c r="I323" i="9"/>
  <c r="I328" i="9"/>
  <c r="K328" i="9"/>
  <c r="K329" i="9"/>
  <c r="I279" i="9"/>
  <c r="K279" i="9"/>
  <c r="I280" i="9"/>
  <c r="K280" i="9"/>
  <c r="I284" i="9"/>
  <c r="K284" i="9"/>
  <c r="I285" i="9"/>
  <c r="K285" i="9"/>
  <c r="I289" i="9"/>
  <c r="K289" i="9"/>
  <c r="I290" i="9"/>
  <c r="K290" i="9"/>
  <c r="I294" i="9"/>
  <c r="K294" i="9"/>
  <c r="I295" i="9"/>
  <c r="K295" i="9"/>
  <c r="I299" i="9"/>
  <c r="K299" i="9"/>
  <c r="I300" i="9"/>
  <c r="K300" i="9"/>
  <c r="I281" i="9"/>
  <c r="I286" i="9"/>
  <c r="I291" i="9"/>
  <c r="I296" i="9"/>
  <c r="I301" i="9"/>
  <c r="K301" i="9"/>
  <c r="I282" i="9"/>
  <c r="I287" i="9"/>
  <c r="I292" i="9"/>
  <c r="I297" i="9"/>
  <c r="I302" i="9"/>
  <c r="K302" i="9"/>
  <c r="K303" i="9"/>
  <c r="I248" i="9"/>
  <c r="K248" i="9"/>
  <c r="I249" i="9"/>
  <c r="K249" i="9"/>
  <c r="I253" i="9"/>
  <c r="K253" i="9"/>
  <c r="I254" i="9"/>
  <c r="K254" i="9"/>
  <c r="I258" i="9"/>
  <c r="K258" i="9"/>
  <c r="I259" i="9"/>
  <c r="K259" i="9"/>
  <c r="I263" i="9"/>
  <c r="K263" i="9"/>
  <c r="I264" i="9"/>
  <c r="K264" i="9"/>
  <c r="I268" i="9"/>
  <c r="K268" i="9"/>
  <c r="I269" i="9"/>
  <c r="K269" i="9"/>
  <c r="I273" i="9"/>
  <c r="K273" i="9"/>
  <c r="I274" i="9"/>
  <c r="K274" i="9"/>
  <c r="I251" i="9"/>
  <c r="I255" i="9"/>
  <c r="I260" i="9"/>
  <c r="I265" i="9"/>
  <c r="I270" i="9"/>
  <c r="I275" i="9"/>
  <c r="K275" i="9"/>
  <c r="I256" i="9"/>
  <c r="I261" i="9"/>
  <c r="I266" i="9"/>
  <c r="I271" i="9"/>
  <c r="I276" i="9"/>
  <c r="K276" i="9"/>
  <c r="K277" i="9"/>
  <c r="I222" i="9"/>
  <c r="K222" i="9"/>
  <c r="I223" i="9"/>
  <c r="K223" i="9"/>
  <c r="I227" i="9"/>
  <c r="K227" i="9"/>
  <c r="I228" i="9"/>
  <c r="K228" i="9"/>
  <c r="I232" i="9"/>
  <c r="K232" i="9"/>
  <c r="I233" i="9"/>
  <c r="K233" i="9"/>
  <c r="I237" i="9"/>
  <c r="K237" i="9"/>
  <c r="I238" i="9"/>
  <c r="K238" i="9"/>
  <c r="I242" i="9"/>
  <c r="K242" i="9"/>
  <c r="I243" i="9"/>
  <c r="K243" i="9"/>
  <c r="I224" i="9"/>
  <c r="I229" i="9"/>
  <c r="I234" i="9"/>
  <c r="I239" i="9"/>
  <c r="I244" i="9"/>
  <c r="K244" i="9"/>
  <c r="I225" i="9"/>
  <c r="I230" i="9"/>
  <c r="I235" i="9"/>
  <c r="I240" i="9"/>
  <c r="I245" i="9"/>
  <c r="K245" i="9"/>
  <c r="K246" i="9"/>
  <c r="I4" i="9"/>
  <c r="I5" i="9"/>
  <c r="I6" i="9"/>
  <c r="I7" i="9"/>
  <c r="I9" i="9"/>
  <c r="I10" i="9"/>
  <c r="I11" i="9"/>
  <c r="I12" i="9"/>
  <c r="I14" i="9"/>
  <c r="I15" i="9"/>
  <c r="I16" i="9"/>
  <c r="I17" i="9"/>
  <c r="I19" i="9"/>
  <c r="I20" i="9"/>
  <c r="I21" i="9"/>
  <c r="I22" i="9"/>
  <c r="I24" i="9"/>
  <c r="I25" i="9"/>
  <c r="I28" i="9"/>
  <c r="K28" i="9"/>
  <c r="K330" i="9"/>
  <c r="L330" i="9"/>
  <c r="I329" i="9"/>
  <c r="I303" i="9"/>
  <c r="I250" i="9"/>
  <c r="I277" i="9"/>
  <c r="I246" i="9"/>
  <c r="I167" i="9"/>
  <c r="I194" i="9"/>
  <c r="I163" i="9"/>
  <c r="I110" i="9"/>
  <c r="I137" i="9"/>
  <c r="I106" i="9"/>
  <c r="I80" i="9"/>
  <c r="I54" i="9"/>
  <c r="I330" i="9"/>
  <c r="L329" i="9"/>
  <c r="L311" i="9"/>
  <c r="L316" i="9"/>
  <c r="L321" i="9"/>
  <c r="L326" i="9"/>
  <c r="L303" i="9"/>
  <c r="L285" i="9"/>
  <c r="L290" i="9"/>
  <c r="L295" i="9"/>
  <c r="L300" i="9"/>
  <c r="L277" i="9"/>
  <c r="L254" i="9"/>
  <c r="L259" i="9"/>
  <c r="L264" i="9"/>
  <c r="L269" i="9"/>
  <c r="L274" i="9"/>
  <c r="L246" i="9"/>
  <c r="L228" i="9"/>
  <c r="L233" i="9"/>
  <c r="L238" i="9"/>
  <c r="L243" i="9"/>
  <c r="I219" i="9"/>
  <c r="K219" i="9"/>
  <c r="K216" i="9"/>
  <c r="K217" i="9"/>
  <c r="K211" i="9"/>
  <c r="K212" i="9"/>
  <c r="K206" i="9"/>
  <c r="K207" i="9"/>
  <c r="K201" i="9"/>
  <c r="K202" i="9"/>
  <c r="K196" i="9"/>
  <c r="K197" i="9"/>
  <c r="L202" i="9"/>
  <c r="L207" i="9"/>
  <c r="L212" i="9"/>
  <c r="L217" i="9"/>
  <c r="L171" i="9"/>
  <c r="L176" i="9"/>
  <c r="L181" i="9"/>
  <c r="L186" i="9"/>
  <c r="L191" i="9"/>
  <c r="L145" i="9"/>
  <c r="L150" i="9"/>
  <c r="L155" i="9"/>
  <c r="L160" i="9"/>
  <c r="L114" i="9"/>
  <c r="L119" i="9"/>
  <c r="L124" i="9"/>
  <c r="L129" i="9"/>
  <c r="L134" i="9"/>
  <c r="L88" i="9"/>
  <c r="L93" i="9"/>
  <c r="L98" i="9"/>
  <c r="L103" i="9"/>
  <c r="L62" i="9"/>
  <c r="L67" i="9"/>
  <c r="L72" i="9"/>
  <c r="L77" i="9"/>
  <c r="L36" i="9"/>
  <c r="L41" i="9"/>
  <c r="L46" i="9"/>
  <c r="L51" i="9"/>
  <c r="L28" i="9"/>
  <c r="I27" i="9"/>
  <c r="K27" i="9"/>
  <c r="I26" i="9"/>
  <c r="K26" i="9"/>
  <c r="K25" i="9"/>
  <c r="K24" i="9"/>
  <c r="K19" i="9"/>
  <c r="K20" i="9"/>
  <c r="K14" i="9"/>
  <c r="K15" i="9"/>
  <c r="K9" i="9"/>
  <c r="K10" i="9"/>
  <c r="K4" i="9"/>
  <c r="K5" i="9"/>
  <c r="L10" i="9"/>
  <c r="L15" i="9"/>
  <c r="L20" i="9"/>
</calcChain>
</file>

<file path=xl/sharedStrings.xml><?xml version="1.0" encoding="utf-8"?>
<sst xmlns="http://schemas.openxmlformats.org/spreadsheetml/2006/main" count="301" uniqueCount="20">
  <si>
    <t>Total Spent</t>
  </si>
  <si>
    <t>Actual to Budget</t>
  </si>
  <si>
    <t>Gas</t>
  </si>
  <si>
    <t>Month</t>
  </si>
  <si>
    <t>Cashflow</t>
  </si>
  <si>
    <t>Mon</t>
  </si>
  <si>
    <t>Tues</t>
  </si>
  <si>
    <t>Wed</t>
  </si>
  <si>
    <t>Thurs</t>
  </si>
  <si>
    <t>Fri</t>
  </si>
  <si>
    <t>Sat</t>
  </si>
  <si>
    <t>Sun</t>
  </si>
  <si>
    <t>Year</t>
  </si>
  <si>
    <t>MTD Actual to Budget</t>
  </si>
  <si>
    <t>Meals/Entertainment</t>
  </si>
  <si>
    <t>Groceries/Home Goods</t>
  </si>
  <si>
    <t>Budget</t>
  </si>
  <si>
    <t>Misc Expenses</t>
  </si>
  <si>
    <t>Current Date</t>
  </si>
  <si>
    <t>Gas/Transportation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</si>
</sst>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5" formatCode="&quot;$&quot;#,##0.00"/>
    <numFmt numFmtId="166" formatCode="&quot;$&quot;#,##0.00;[Red]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1" fillId="0" borderId="0" xfId="0" applyFont="1"/>
    <xf numFmtId="44" fontId="0" fillId="0" borderId="0" xfId="0" applyNumberFormat="1"/>
    <xf numFmtId="44" fontId="0" fillId="0" borderId="0" xfId="1" applyFont="1"/>
    <xf numFmtId="0" fontId="0" fillId="0" borderId="2" xfId="0" applyBorder="1"/>
    <xf numFmtId="0" fontId="0" fillId="0" borderId="4" xfId="0" applyBorder="1"/>
    <xf numFmtId="44" fontId="0" fillId="0" borderId="6" xfId="1" applyFont="1" applyBorder="1"/>
    <xf numFmtId="44" fontId="0" fillId="0" borderId="0" xfId="1" applyFont="1" applyBorder="1"/>
    <xf numFmtId="0" fontId="0" fillId="0" borderId="6" xfId="0" applyBorder="1"/>
    <xf numFmtId="0" fontId="0" fillId="0" borderId="0" xfId="0" applyBorder="1"/>
    <xf numFmtId="0" fontId="0" fillId="0" borderId="8" xfId="0" applyBorder="1"/>
    <xf numFmtId="0" fontId="0" fillId="0" borderId="3" xfId="0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2" xfId="0" applyFont="1" applyBorder="1"/>
    <xf numFmtId="0" fontId="0" fillId="0" borderId="13" xfId="0" applyBorder="1"/>
    <xf numFmtId="44" fontId="0" fillId="0" borderId="13" xfId="0" applyNumberFormat="1" applyBorder="1"/>
    <xf numFmtId="44" fontId="1" fillId="0" borderId="0" xfId="1" applyFont="1" applyBorder="1"/>
    <xf numFmtId="44" fontId="0" fillId="0" borderId="4" xfId="1" applyFont="1" applyBorder="1"/>
    <xf numFmtId="14" fontId="1" fillId="0" borderId="3" xfId="0" applyNumberFormat="1" applyFont="1" applyBorder="1"/>
    <xf numFmtId="14" fontId="1" fillId="0" borderId="4" xfId="0" applyNumberFormat="1" applyFont="1" applyBorder="1"/>
    <xf numFmtId="14" fontId="1" fillId="0" borderId="6" xfId="0" applyNumberFormat="1" applyFont="1" applyBorder="1"/>
    <xf numFmtId="14" fontId="1" fillId="0" borderId="0" xfId="0" applyNumberFormat="1" applyFont="1" applyBorder="1"/>
    <xf numFmtId="0" fontId="1" fillId="0" borderId="3" xfId="0" applyFont="1" applyBorder="1"/>
    <xf numFmtId="0" fontId="1" fillId="0" borderId="4" xfId="0" applyFont="1" applyBorder="1"/>
    <xf numFmtId="44" fontId="1" fillId="0" borderId="4" xfId="1" applyFont="1" applyBorder="1"/>
    <xf numFmtId="0" fontId="1" fillId="0" borderId="13" xfId="0" applyFont="1" applyBorder="1"/>
    <xf numFmtId="0" fontId="1" fillId="0" borderId="0" xfId="0" applyFont="1" applyBorder="1"/>
    <xf numFmtId="0" fontId="1" fillId="2" borderId="12" xfId="0" applyFont="1" applyFill="1" applyBorder="1"/>
    <xf numFmtId="44" fontId="0" fillId="2" borderId="10" xfId="1" applyFont="1" applyFill="1" applyBorder="1"/>
    <xf numFmtId="0" fontId="1" fillId="2" borderId="9" xfId="0" applyFont="1" applyFill="1" applyBorder="1"/>
    <xf numFmtId="44" fontId="1" fillId="2" borderId="9" xfId="1" applyFont="1" applyFill="1" applyBorder="1"/>
    <xf numFmtId="44" fontId="1" fillId="2" borderId="11" xfId="0" applyNumberFormat="1" applyFont="1" applyFill="1" applyBorder="1"/>
    <xf numFmtId="44" fontId="0" fillId="2" borderId="9" xfId="1" applyFont="1" applyFill="1" applyBorder="1"/>
    <xf numFmtId="0" fontId="0" fillId="2" borderId="1" xfId="0" applyFill="1" applyBorder="1"/>
    <xf numFmtId="0" fontId="1" fillId="2" borderId="1" xfId="0" applyFont="1" applyFill="1" applyBorder="1"/>
    <xf numFmtId="44" fontId="0" fillId="2" borderId="2" xfId="1" applyFont="1" applyFill="1" applyBorder="1"/>
    <xf numFmtId="44" fontId="0" fillId="2" borderId="11" xfId="1" applyFont="1" applyFill="1" applyBorder="1"/>
    <xf numFmtId="165" fontId="1" fillId="0" borderId="7" xfId="0" applyNumberFormat="1" applyFont="1" applyBorder="1"/>
    <xf numFmtId="165" fontId="0" fillId="0" borderId="5" xfId="0" applyNumberFormat="1" applyBorder="1"/>
    <xf numFmtId="165" fontId="0" fillId="0" borderId="7" xfId="0" applyNumberFormat="1" applyBorder="1"/>
    <xf numFmtId="165" fontId="0" fillId="2" borderId="11" xfId="0" applyNumberFormat="1" applyFill="1" applyBorder="1"/>
    <xf numFmtId="165" fontId="1" fillId="2" borderId="14" xfId="0" applyNumberFormat="1" applyFont="1" applyFill="1" applyBorder="1"/>
    <xf numFmtId="165" fontId="1" fillId="0" borderId="5" xfId="0" applyNumberFormat="1" applyFont="1" applyBorder="1"/>
    <xf numFmtId="165" fontId="1" fillId="2" borderId="11" xfId="0" applyNumberFormat="1" applyFont="1" applyFill="1" applyBorder="1"/>
    <xf numFmtId="165" fontId="0" fillId="0" borderId="0" xfId="0" applyNumberFormat="1"/>
    <xf numFmtId="44" fontId="0" fillId="2" borderId="11" xfId="1" applyFont="1" applyFill="1" applyBorder="1" applyAlignment="1">
      <alignment horizontal="left"/>
    </xf>
    <xf numFmtId="44" fontId="5" fillId="0" borderId="1" xfId="0" applyNumberFormat="1" applyFont="1" applyBorder="1"/>
    <xf numFmtId="165" fontId="0" fillId="0" borderId="13" xfId="0" applyNumberFormat="1" applyBorder="1"/>
    <xf numFmtId="165" fontId="0" fillId="0" borderId="6" xfId="0" applyNumberFormat="1" applyBorder="1"/>
    <xf numFmtId="165" fontId="0" fillId="0" borderId="0" xfId="0" applyNumberFormat="1" applyBorder="1"/>
    <xf numFmtId="165" fontId="0" fillId="0" borderId="0" xfId="1" applyNumberFormat="1" applyFont="1" applyBorder="1"/>
    <xf numFmtId="165" fontId="0" fillId="2" borderId="9" xfId="1" applyNumberFormat="1" applyFont="1" applyFill="1" applyBorder="1"/>
    <xf numFmtId="165" fontId="0" fillId="2" borderId="10" xfId="1" applyNumberFormat="1" applyFont="1" applyFill="1" applyBorder="1"/>
    <xf numFmtId="165" fontId="0" fillId="2" borderId="11" xfId="1" applyNumberFormat="1" applyFont="1" applyFill="1" applyBorder="1"/>
    <xf numFmtId="166" fontId="5" fillId="0" borderId="1" xfId="0" applyNumberFormat="1" applyFont="1" applyBorder="1"/>
    <xf numFmtId="165" fontId="0" fillId="0" borderId="6" xfId="1" applyNumberFormat="1" applyFont="1" applyBorder="1"/>
    <xf numFmtId="0" fontId="0" fillId="0" borderId="7" xfId="0" applyBorder="1"/>
    <xf numFmtId="165" fontId="0" fillId="0" borderId="7" xfId="1" applyNumberFormat="1" applyFont="1" applyBorder="1"/>
    <xf numFmtId="0" fontId="1" fillId="0" borderId="2" xfId="0" applyFont="1" applyBorder="1" applyAlignment="1">
      <alignment horizontal="center"/>
    </xf>
  </cellXfs>
  <cellStyles count="4">
    <cellStyle name="Currency" xfId="1" builtinId="4"/>
    <cellStyle name="Followed Hyperlink" xfId="3" builtinId="9" hidden="1"/>
    <cellStyle name="Hyperlink" xfId="2" builtinId="8" hidden="1"/>
    <cellStyle name="Normal" xfId="0" builtinId="0"/>
  </cellStyles>
  <dxfs count="53"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1"/>
      </font>
      <fill>
        <patternFill patternType="solid">
          <bgColor theme="6" tint="0.79998168889431442"/>
        </patternFill>
      </fill>
    </dxf>
    <dxf>
      <font>
        <color rgb="FF9C0006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0</xdr:row>
      <xdr:rowOff>38100</xdr:rowOff>
    </xdr:from>
    <xdr:to>
      <xdr:col>15</xdr:col>
      <xdr:colOff>469900</xdr:colOff>
      <xdr:row>1</xdr:row>
      <xdr:rowOff>165100</xdr:rowOff>
    </xdr:to>
    <xdr:sp macro="[0]!Macro3" textlink="">
      <xdr:nvSpPr>
        <xdr:cNvPr id="5" name="TextBox 4"/>
        <xdr:cNvSpPr txBox="1"/>
      </xdr:nvSpPr>
      <xdr:spPr>
        <a:xfrm>
          <a:off x="13411200" y="38100"/>
          <a:ext cx="1257300" cy="31750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Run</a:t>
          </a:r>
          <a:r>
            <a:rPr lang="en-US" sz="1400" b="1" baseline="0"/>
            <a:t> Macro</a:t>
          </a: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330"/>
  <sheetViews>
    <sheetView tabSelected="1" workbookViewId="0">
      <pane ySplit="2" topLeftCell="A3" activePane="bottomLeft" state="frozen"/>
      <selection pane="bottomLeft" activeCell="F4" sqref="F4"/>
    </sheetView>
  </sheetViews>
  <sheetFormatPr baseColWidth="10" defaultRowHeight="15" x14ac:dyDescent="0.2"/>
  <cols>
    <col min="1" max="1" width="18.6640625" bestFit="1" customWidth="1"/>
    <col min="8" max="8" width="10.83203125" customWidth="1"/>
    <col min="9" max="9" width="10.83203125" style="4"/>
    <col min="10" max="10" width="10.33203125" style="4" customWidth="1"/>
    <col min="11" max="11" width="13.5" style="46" bestFit="1" customWidth="1"/>
    <col min="12" max="12" width="17.5" customWidth="1"/>
    <col min="13" max="13" width="16.5" customWidth="1"/>
    <col min="15" max="15" width="12.33203125" customWidth="1"/>
  </cols>
  <sheetData>
    <row r="1" spans="1:14" x14ac:dyDescent="0.2">
      <c r="A1" s="1"/>
      <c r="B1" s="60" t="s">
        <v>4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t="s">
        <v>18</v>
      </c>
      <c r="N1" s="1">
        <f ca="1">TODAY()</f>
        <v>42640</v>
      </c>
    </row>
    <row r="2" spans="1:14" x14ac:dyDescent="0.2">
      <c r="B2" s="13" t="s">
        <v>5</v>
      </c>
      <c r="C2" s="14" t="s">
        <v>6</v>
      </c>
      <c r="D2" s="14" t="s">
        <v>7</v>
      </c>
      <c r="E2" s="14" t="s">
        <v>8</v>
      </c>
      <c r="F2" s="14" t="s">
        <v>9</v>
      </c>
      <c r="G2" s="14" t="s">
        <v>10</v>
      </c>
      <c r="H2" s="14" t="s">
        <v>11</v>
      </c>
      <c r="I2" s="18" t="s">
        <v>0</v>
      </c>
      <c r="J2" s="18" t="s">
        <v>16</v>
      </c>
      <c r="K2" s="39" t="s">
        <v>1</v>
      </c>
      <c r="L2" s="15" t="s">
        <v>13</v>
      </c>
    </row>
    <row r="3" spans="1:14" s="2" customFormat="1" x14ac:dyDescent="0.2">
      <c r="B3" s="24"/>
      <c r="C3" s="25"/>
      <c r="D3" s="25"/>
      <c r="E3" s="25"/>
      <c r="F3" s="21">
        <v>42370</v>
      </c>
      <c r="G3" s="21">
        <v>42371</v>
      </c>
      <c r="H3" s="21">
        <v>42372</v>
      </c>
      <c r="I3" s="26"/>
      <c r="J3" s="26"/>
      <c r="K3" s="44"/>
      <c r="L3" s="27"/>
    </row>
    <row r="4" spans="1:14" x14ac:dyDescent="0.2">
      <c r="A4" t="s">
        <v>14</v>
      </c>
      <c r="B4" s="7"/>
      <c r="C4" s="8"/>
      <c r="D4" s="8"/>
      <c r="E4" s="8"/>
      <c r="F4" s="8"/>
      <c r="G4" s="8"/>
      <c r="H4" s="8"/>
      <c r="I4" s="8">
        <f>SUM(B4:H4)</f>
        <v>0</v>
      </c>
      <c r="J4" s="8">
        <v>44.383561643835613</v>
      </c>
      <c r="K4" s="41">
        <f>I4-J4</f>
        <v>-44.383561643835613</v>
      </c>
      <c r="L4" s="16"/>
    </row>
    <row r="5" spans="1:14" x14ac:dyDescent="0.2">
      <c r="A5" t="s">
        <v>15</v>
      </c>
      <c r="B5" s="7"/>
      <c r="C5" s="8"/>
      <c r="D5" s="8"/>
      <c r="E5" s="8"/>
      <c r="F5" s="8"/>
      <c r="G5" s="8"/>
      <c r="H5" s="8"/>
      <c r="I5" s="8">
        <f>SUM(B5:H5)</f>
        <v>0</v>
      </c>
      <c r="J5" s="8">
        <v>59.178082191780817</v>
      </c>
      <c r="K5" s="41">
        <f>I5-J5</f>
        <v>-59.178082191780817</v>
      </c>
      <c r="L5" s="17"/>
    </row>
    <row r="6" spans="1:14" x14ac:dyDescent="0.2">
      <c r="A6" t="s">
        <v>17</v>
      </c>
      <c r="B6" s="7"/>
      <c r="C6" s="8"/>
      <c r="D6" s="8"/>
      <c r="E6" s="8"/>
      <c r="F6" s="8"/>
      <c r="G6" s="8"/>
      <c r="H6" s="8"/>
      <c r="I6" s="8">
        <f>SUM(B6:H6)</f>
        <v>0</v>
      </c>
      <c r="J6" s="8"/>
      <c r="K6" s="41"/>
      <c r="L6" s="17"/>
    </row>
    <row r="7" spans="1:14" x14ac:dyDescent="0.2">
      <c r="A7" t="s">
        <v>2</v>
      </c>
      <c r="B7" s="7"/>
      <c r="C7" s="8"/>
      <c r="D7" s="8"/>
      <c r="E7" s="8"/>
      <c r="F7" s="8"/>
      <c r="G7" s="8"/>
      <c r="H7" s="8"/>
      <c r="I7" s="8">
        <f>SUM(B7:H7)</f>
        <v>0</v>
      </c>
      <c r="J7" s="8"/>
      <c r="K7" s="41"/>
      <c r="L7" s="16"/>
    </row>
    <row r="8" spans="1:14" s="2" customFormat="1" x14ac:dyDescent="0.2">
      <c r="B8" s="22">
        <v>42373</v>
      </c>
      <c r="C8" s="23">
        <v>42374</v>
      </c>
      <c r="D8" s="22">
        <v>42375</v>
      </c>
      <c r="E8" s="23">
        <v>42376</v>
      </c>
      <c r="F8" s="22">
        <v>42377</v>
      </c>
      <c r="G8" s="23">
        <v>42378</v>
      </c>
      <c r="H8" s="22">
        <v>42379</v>
      </c>
      <c r="I8" s="18"/>
      <c r="J8" s="18"/>
      <c r="K8" s="39"/>
      <c r="L8" s="27"/>
    </row>
    <row r="9" spans="1:14" x14ac:dyDescent="0.2">
      <c r="A9" t="s">
        <v>14</v>
      </c>
      <c r="B9" s="7"/>
      <c r="C9" s="8"/>
      <c r="D9" s="8"/>
      <c r="E9" s="8"/>
      <c r="F9" s="8"/>
      <c r="G9" s="8"/>
      <c r="H9" s="8"/>
      <c r="I9" s="8">
        <f>SUM(B9:H9)</f>
        <v>0</v>
      </c>
      <c r="J9" s="8">
        <v>103.56164383561644</v>
      </c>
      <c r="K9" s="41">
        <f>I9-J9</f>
        <v>-103.56164383561644</v>
      </c>
      <c r="L9" s="16"/>
    </row>
    <row r="10" spans="1:14" x14ac:dyDescent="0.2">
      <c r="A10" t="s">
        <v>15</v>
      </c>
      <c r="B10" s="7"/>
      <c r="C10" s="8"/>
      <c r="D10" s="8"/>
      <c r="E10" s="8"/>
      <c r="F10" s="8"/>
      <c r="G10" s="8"/>
      <c r="H10" s="8"/>
      <c r="I10" s="8">
        <f>SUM(B10:H10)</f>
        <v>0</v>
      </c>
      <c r="J10" s="8">
        <v>138.08219178082192</v>
      </c>
      <c r="K10" s="41">
        <f>I10-J10</f>
        <v>-138.08219178082192</v>
      </c>
      <c r="L10" s="49">
        <f>K9+K10+K4+K5+I6</f>
        <v>-345.20547945205476</v>
      </c>
    </row>
    <row r="11" spans="1:14" x14ac:dyDescent="0.2">
      <c r="A11" t="s">
        <v>17</v>
      </c>
      <c r="B11" s="7"/>
      <c r="C11" s="8"/>
      <c r="D11" s="8"/>
      <c r="E11" s="8"/>
      <c r="F11" s="8"/>
      <c r="G11" s="8"/>
      <c r="H11" s="8"/>
      <c r="I11" s="8">
        <f>SUM(B11:H11)</f>
        <v>0</v>
      </c>
      <c r="J11" s="8"/>
      <c r="K11" s="41"/>
      <c r="L11" s="17"/>
    </row>
    <row r="12" spans="1:14" x14ac:dyDescent="0.2">
      <c r="A12" t="s">
        <v>2</v>
      </c>
      <c r="B12" s="7"/>
      <c r="C12" s="8"/>
      <c r="D12" s="8"/>
      <c r="E12" s="8"/>
      <c r="F12" s="8"/>
      <c r="G12" s="8"/>
      <c r="H12" s="8"/>
      <c r="I12" s="8">
        <f>SUM(B12:H12)</f>
        <v>0</v>
      </c>
      <c r="J12" s="8"/>
      <c r="K12" s="41"/>
      <c r="L12" s="16"/>
    </row>
    <row r="13" spans="1:14" s="2" customFormat="1" x14ac:dyDescent="0.2">
      <c r="B13" s="22">
        <v>42380</v>
      </c>
      <c r="C13" s="23">
        <v>42381</v>
      </c>
      <c r="D13" s="23">
        <v>42382</v>
      </c>
      <c r="E13" s="23">
        <v>42383</v>
      </c>
      <c r="F13" s="23">
        <v>42384</v>
      </c>
      <c r="G13" s="23">
        <v>42385</v>
      </c>
      <c r="H13" s="23">
        <v>42386</v>
      </c>
      <c r="I13" s="18"/>
      <c r="J13" s="18"/>
      <c r="K13" s="39"/>
      <c r="L13" s="27"/>
    </row>
    <row r="14" spans="1:14" x14ac:dyDescent="0.2">
      <c r="A14" t="s">
        <v>14</v>
      </c>
      <c r="B14" s="7"/>
      <c r="C14" s="8"/>
      <c r="D14" s="8"/>
      <c r="E14" s="8"/>
      <c r="F14" s="8"/>
      <c r="G14" s="8"/>
      <c r="H14" s="8"/>
      <c r="I14" s="8">
        <f>SUM(B14:H14)</f>
        <v>0</v>
      </c>
      <c r="J14" s="8">
        <v>103.56164383561644</v>
      </c>
      <c r="K14" s="41">
        <f>I14-J14</f>
        <v>-103.56164383561644</v>
      </c>
      <c r="L14" s="16"/>
    </row>
    <row r="15" spans="1:14" x14ac:dyDescent="0.2">
      <c r="A15" t="s">
        <v>15</v>
      </c>
      <c r="B15" s="7"/>
      <c r="C15" s="8"/>
      <c r="D15" s="8"/>
      <c r="E15" s="8"/>
      <c r="F15" s="8"/>
      <c r="G15" s="10"/>
      <c r="H15" s="8"/>
      <c r="I15" s="8">
        <f>SUM(B15:H15)</f>
        <v>0</v>
      </c>
      <c r="J15" s="8">
        <v>138.08219178082192</v>
      </c>
      <c r="K15" s="41">
        <f>I15-J15</f>
        <v>-138.08219178082192</v>
      </c>
      <c r="L15" s="49">
        <f>K14+K15+L10+I16</f>
        <v>-586.84931506849307</v>
      </c>
    </row>
    <row r="16" spans="1:14" x14ac:dyDescent="0.2">
      <c r="A16" t="s">
        <v>17</v>
      </c>
      <c r="B16" s="7"/>
      <c r="C16" s="8"/>
      <c r="D16" s="8"/>
      <c r="E16" s="8"/>
      <c r="F16" s="8"/>
      <c r="G16" s="8"/>
      <c r="H16" s="8"/>
      <c r="I16" s="8">
        <f>SUM(B16:H16)</f>
        <v>0</v>
      </c>
      <c r="J16" s="8"/>
      <c r="K16" s="41"/>
      <c r="L16" s="17"/>
    </row>
    <row r="17" spans="1:13" x14ac:dyDescent="0.2">
      <c r="A17" t="s">
        <v>2</v>
      </c>
      <c r="B17" s="7"/>
      <c r="C17" s="8"/>
      <c r="D17" s="8"/>
      <c r="E17" s="8"/>
      <c r="F17" s="8"/>
      <c r="G17" s="8"/>
      <c r="H17" s="8"/>
      <c r="I17" s="8">
        <f>SUM(B17:H17)</f>
        <v>0</v>
      </c>
      <c r="J17" s="8"/>
      <c r="K17" s="41"/>
      <c r="L17" s="16"/>
    </row>
    <row r="18" spans="1:13" s="2" customFormat="1" x14ac:dyDescent="0.2">
      <c r="B18" s="22">
        <v>42387</v>
      </c>
      <c r="C18" s="23">
        <v>42388</v>
      </c>
      <c r="D18" s="23">
        <v>42389</v>
      </c>
      <c r="E18" s="23">
        <v>42390</v>
      </c>
      <c r="F18" s="23">
        <v>42391</v>
      </c>
      <c r="G18" s="23">
        <v>42392</v>
      </c>
      <c r="H18" s="23">
        <v>42393</v>
      </c>
      <c r="I18" s="18"/>
      <c r="J18" s="18"/>
      <c r="K18" s="39"/>
      <c r="L18" s="27"/>
    </row>
    <row r="19" spans="1:13" s="46" customFormat="1" x14ac:dyDescent="0.2">
      <c r="A19" s="46" t="s">
        <v>14</v>
      </c>
      <c r="B19" s="50"/>
      <c r="C19" s="51"/>
      <c r="D19" s="51"/>
      <c r="E19" s="51"/>
      <c r="F19" s="51"/>
      <c r="G19" s="51"/>
      <c r="H19" s="51"/>
      <c r="I19" s="52">
        <f>SUM(B19:H19)</f>
        <v>0</v>
      </c>
      <c r="J19" s="52">
        <v>103.56164383561644</v>
      </c>
      <c r="K19" s="41">
        <f>I19-J19</f>
        <v>-103.56164383561644</v>
      </c>
      <c r="L19" s="49"/>
    </row>
    <row r="20" spans="1:13" x14ac:dyDescent="0.2">
      <c r="A20" t="s">
        <v>15</v>
      </c>
      <c r="B20" s="9"/>
      <c r="D20" s="10"/>
      <c r="E20" s="10"/>
      <c r="F20" s="10"/>
      <c r="G20" s="10"/>
      <c r="H20" s="10"/>
      <c r="I20" s="8">
        <f>SUM(B20:H20)</f>
        <v>0</v>
      </c>
      <c r="J20" s="8">
        <v>138.08219178082192</v>
      </c>
      <c r="K20" s="41">
        <f>I20-J20</f>
        <v>-138.08219178082192</v>
      </c>
      <c r="L20" s="49">
        <f>K19+K20+L15+I21</f>
        <v>-828.49315068493138</v>
      </c>
    </row>
    <row r="21" spans="1:13" x14ac:dyDescent="0.2">
      <c r="A21" t="s">
        <v>17</v>
      </c>
      <c r="B21" s="7"/>
      <c r="C21" s="8"/>
      <c r="D21" s="8"/>
      <c r="E21" s="8"/>
      <c r="F21" s="8"/>
      <c r="G21" s="8"/>
      <c r="H21" s="8"/>
      <c r="I21" s="8">
        <f>SUM(B21:H21)</f>
        <v>0</v>
      </c>
      <c r="J21" s="8"/>
      <c r="K21" s="41"/>
      <c r="L21" s="17"/>
    </row>
    <row r="22" spans="1:13" s="46" customFormat="1" x14ac:dyDescent="0.2">
      <c r="A22" s="46" t="s">
        <v>2</v>
      </c>
      <c r="B22" s="50"/>
      <c r="C22" s="51"/>
      <c r="D22" s="51"/>
      <c r="E22" s="51"/>
      <c r="F22" s="51"/>
      <c r="G22" s="51"/>
      <c r="H22" s="51"/>
      <c r="I22" s="52">
        <f>SUM(B22:H22)</f>
        <v>0</v>
      </c>
      <c r="J22" s="52"/>
      <c r="K22" s="41"/>
      <c r="L22" s="49"/>
    </row>
    <row r="23" spans="1:13" s="2" customFormat="1" x14ac:dyDescent="0.2">
      <c r="B23" s="22">
        <v>42394</v>
      </c>
      <c r="C23" s="23">
        <v>42395</v>
      </c>
      <c r="D23" s="23">
        <v>42396</v>
      </c>
      <c r="E23" s="23">
        <v>42397</v>
      </c>
      <c r="F23" s="23">
        <v>42398</v>
      </c>
      <c r="G23" s="23">
        <v>42399</v>
      </c>
      <c r="H23" s="23">
        <v>42400</v>
      </c>
      <c r="I23" s="18"/>
      <c r="J23" s="18"/>
      <c r="K23" s="39"/>
      <c r="L23" s="27"/>
    </row>
    <row r="24" spans="1:13" s="46" customFormat="1" x14ac:dyDescent="0.2">
      <c r="A24" s="46" t="s">
        <v>14</v>
      </c>
      <c r="B24" s="50"/>
      <c r="C24" s="51"/>
      <c r="D24" s="51"/>
      <c r="E24" s="51"/>
      <c r="F24" s="51"/>
      <c r="G24" s="51"/>
      <c r="H24" s="51"/>
      <c r="I24" s="52">
        <f>SUM(B24:H24)</f>
        <v>0</v>
      </c>
      <c r="J24" s="52">
        <v>103.56164383561644</v>
      </c>
      <c r="K24" s="41">
        <f>I24-J24</f>
        <v>-103.56164383561644</v>
      </c>
      <c r="L24" s="49"/>
    </row>
    <row r="25" spans="1:13" x14ac:dyDescent="0.2">
      <c r="A25" t="s">
        <v>15</v>
      </c>
      <c r="B25" s="9"/>
      <c r="C25" s="10"/>
      <c r="D25" s="10"/>
      <c r="E25" s="10"/>
      <c r="F25" s="10"/>
      <c r="G25" s="10"/>
      <c r="H25" s="10"/>
      <c r="I25" s="8">
        <f>SUM(B25:H25)</f>
        <v>0</v>
      </c>
      <c r="J25" s="8">
        <v>138.08219178082192</v>
      </c>
      <c r="K25" s="41">
        <f>I25-J25</f>
        <v>-138.08219178082192</v>
      </c>
      <c r="L25" s="17"/>
    </row>
    <row r="26" spans="1:13" x14ac:dyDescent="0.2">
      <c r="A26" t="s">
        <v>17</v>
      </c>
      <c r="B26" s="7"/>
      <c r="C26" s="8"/>
      <c r="D26" s="8"/>
      <c r="E26" s="8"/>
      <c r="F26" s="8"/>
      <c r="G26" s="8"/>
      <c r="H26" s="8"/>
      <c r="I26" s="34">
        <f>SUM(I6,I11,I16,I21,B26:H26)</f>
        <v>0</v>
      </c>
      <c r="J26" s="30"/>
      <c r="K26" s="42">
        <f>I26-J26</f>
        <v>0</v>
      </c>
      <c r="L26" s="38" t="s">
        <v>17</v>
      </c>
    </row>
    <row r="27" spans="1:13" s="46" customFormat="1" x14ac:dyDescent="0.2">
      <c r="A27" s="46" t="s">
        <v>2</v>
      </c>
      <c r="B27" s="50"/>
      <c r="C27" s="51"/>
      <c r="D27" s="51"/>
      <c r="E27" s="51"/>
      <c r="F27" s="51"/>
      <c r="G27" s="51"/>
      <c r="H27" s="51"/>
      <c r="I27" s="53">
        <f>SUM(I7,I12,I17,I22,B27:H27)</f>
        <v>0</v>
      </c>
      <c r="J27" s="54">
        <v>110</v>
      </c>
      <c r="K27" s="42">
        <f>I27-J27</f>
        <v>-110</v>
      </c>
      <c r="L27" s="55" t="s">
        <v>2</v>
      </c>
    </row>
    <row r="28" spans="1:13" x14ac:dyDescent="0.2">
      <c r="B28" s="11"/>
      <c r="C28" s="5"/>
      <c r="D28" s="5"/>
      <c r="E28" s="5"/>
      <c r="F28" s="5"/>
      <c r="G28" s="5"/>
      <c r="H28" s="36" t="s">
        <v>3</v>
      </c>
      <c r="I28" s="37">
        <f>SUM(I4:I25)</f>
        <v>0</v>
      </c>
      <c r="J28" s="37">
        <v>1180.1369863013697</v>
      </c>
      <c r="K28" s="43">
        <f>I28-J28</f>
        <v>-1180.1369863013697</v>
      </c>
      <c r="L28" s="56">
        <f ca="1">IF(N1&gt;H23,(-K28)/(DAYS360(F3,H23)-1),(IF(F3&lt;$N$1,(K28/(DAYS360($N$1,H23)+1)),(K28/(DAYS360(F3,H23)+1)))*-1))</f>
        <v>40.694378837978263</v>
      </c>
      <c r="M28" s="3"/>
    </row>
    <row r="29" spans="1:13" s="2" customFormat="1" x14ac:dyDescent="0.2">
      <c r="B29" s="20">
        <v>42401</v>
      </c>
      <c r="C29" s="21">
        <v>42402</v>
      </c>
      <c r="D29" s="21">
        <v>42403</v>
      </c>
      <c r="E29" s="21">
        <v>42404</v>
      </c>
      <c r="F29" s="21">
        <v>42405</v>
      </c>
      <c r="G29" s="21">
        <v>42406</v>
      </c>
      <c r="H29" s="21">
        <v>42407</v>
      </c>
      <c r="I29" s="26"/>
      <c r="J29" s="26"/>
      <c r="K29" s="44"/>
      <c r="L29" s="27"/>
    </row>
    <row r="30" spans="1:13" x14ac:dyDescent="0.2">
      <c r="A30" t="s">
        <v>14</v>
      </c>
      <c r="B30" s="50"/>
      <c r="C30" s="51"/>
      <c r="D30" s="51"/>
      <c r="E30" s="51"/>
      <c r="F30" s="51"/>
      <c r="G30" s="51"/>
      <c r="H30" s="51"/>
      <c r="I30" s="8">
        <f>SUM(B30:H30)</f>
        <v>0</v>
      </c>
      <c r="J30" s="8">
        <v>86.301369863013704</v>
      </c>
      <c r="K30" s="41">
        <f>I30-J30</f>
        <v>-86.301369863013704</v>
      </c>
      <c r="L30" s="16"/>
    </row>
    <row r="31" spans="1:13" x14ac:dyDescent="0.2">
      <c r="A31" t="s">
        <v>15</v>
      </c>
      <c r="B31" s="50"/>
      <c r="C31" s="51"/>
      <c r="D31" s="51"/>
      <c r="E31" s="51"/>
      <c r="F31" s="51"/>
      <c r="G31" s="51"/>
      <c r="H31" s="51"/>
      <c r="I31" s="8">
        <f>SUM(B31:H31)</f>
        <v>0</v>
      </c>
      <c r="J31" s="8">
        <v>115.06849315068494</v>
      </c>
      <c r="K31" s="41">
        <f>I31-J31</f>
        <v>-115.06849315068494</v>
      </c>
      <c r="L31" s="17"/>
    </row>
    <row r="32" spans="1:13" x14ac:dyDescent="0.2">
      <c r="A32" t="s">
        <v>17</v>
      </c>
      <c r="B32" s="57"/>
      <c r="C32" s="52"/>
      <c r="D32" s="52"/>
      <c r="E32" s="52"/>
      <c r="F32" s="52"/>
      <c r="G32" s="52"/>
      <c r="H32" s="52"/>
      <c r="I32" s="8">
        <f>SUM(B32:H32)</f>
        <v>0</v>
      </c>
      <c r="J32" s="8"/>
      <c r="K32" s="41"/>
      <c r="L32" s="17"/>
    </row>
    <row r="33" spans="1:12" s="46" customFormat="1" x14ac:dyDescent="0.2">
      <c r="A33" s="46" t="s">
        <v>2</v>
      </c>
      <c r="B33" s="50"/>
      <c r="C33" s="51"/>
      <c r="D33" s="51"/>
      <c r="E33" s="51"/>
      <c r="F33" s="51"/>
      <c r="G33" s="51"/>
      <c r="H33" s="51"/>
      <c r="I33" s="52">
        <f>SUM(B33:H33)</f>
        <v>0</v>
      </c>
      <c r="J33" s="52"/>
      <c r="K33" s="41"/>
      <c r="L33" s="49"/>
    </row>
    <row r="34" spans="1:12" s="2" customFormat="1" x14ac:dyDescent="0.2">
      <c r="B34" s="22">
        <v>42408</v>
      </c>
      <c r="C34" s="23">
        <v>42409</v>
      </c>
      <c r="D34" s="23">
        <v>42410</v>
      </c>
      <c r="E34" s="23">
        <v>42411</v>
      </c>
      <c r="F34" s="23">
        <v>42412</v>
      </c>
      <c r="G34" s="23">
        <v>42413</v>
      </c>
      <c r="H34" s="23">
        <v>42414</v>
      </c>
      <c r="I34" s="18"/>
      <c r="J34" s="18"/>
      <c r="K34" s="39"/>
      <c r="L34" s="27"/>
    </row>
    <row r="35" spans="1:12" s="46" customFormat="1" x14ac:dyDescent="0.2">
      <c r="A35" s="46" t="s">
        <v>14</v>
      </c>
      <c r="B35" s="50"/>
      <c r="C35" s="51"/>
      <c r="D35" s="51"/>
      <c r="E35" s="51"/>
      <c r="F35" s="51"/>
      <c r="G35" s="51"/>
      <c r="H35" s="51"/>
      <c r="I35" s="52">
        <f>SUM(B35:H35)</f>
        <v>0</v>
      </c>
      <c r="J35" s="52">
        <v>86.301369863013704</v>
      </c>
      <c r="K35" s="41">
        <f>I35-J35</f>
        <v>-86.301369863013704</v>
      </c>
      <c r="L35" s="49"/>
    </row>
    <row r="36" spans="1:12" x14ac:dyDescent="0.2">
      <c r="A36" t="s">
        <v>15</v>
      </c>
      <c r="B36" s="50"/>
      <c r="C36" s="51"/>
      <c r="D36" s="51"/>
      <c r="E36" s="51"/>
      <c r="F36" s="51"/>
      <c r="G36" s="51"/>
      <c r="H36" s="51"/>
      <c r="I36" s="8">
        <f>SUM(B36:H36)</f>
        <v>0</v>
      </c>
      <c r="J36" s="8">
        <v>115.06849315068494</v>
      </c>
      <c r="K36" s="41">
        <f>I36-J36</f>
        <v>-115.06849315068494</v>
      </c>
      <c r="L36" s="17">
        <f>K35+K36+K30+K31</f>
        <v>-402.7397260273973</v>
      </c>
    </row>
    <row r="37" spans="1:12" x14ac:dyDescent="0.2">
      <c r="A37" t="s">
        <v>17</v>
      </c>
      <c r="B37" s="57"/>
      <c r="C37" s="52"/>
      <c r="D37" s="52"/>
      <c r="E37" s="52"/>
      <c r="F37" s="52"/>
      <c r="G37" s="52"/>
      <c r="H37" s="52"/>
      <c r="I37" s="8">
        <f>SUM(B37:H37)</f>
        <v>0</v>
      </c>
      <c r="J37" s="8"/>
      <c r="K37" s="41"/>
      <c r="L37" s="17"/>
    </row>
    <row r="38" spans="1:12" s="46" customFormat="1" x14ac:dyDescent="0.2">
      <c r="A38" s="46" t="s">
        <v>2</v>
      </c>
      <c r="B38" s="50"/>
      <c r="C38" s="51"/>
      <c r="D38" s="51"/>
      <c r="E38" s="51"/>
      <c r="F38" s="51"/>
      <c r="G38" s="51"/>
      <c r="H38" s="51"/>
      <c r="I38" s="52">
        <f>SUM(B38:H38)</f>
        <v>0</v>
      </c>
      <c r="J38" s="52"/>
      <c r="K38" s="41"/>
      <c r="L38" s="49"/>
    </row>
    <row r="39" spans="1:12" s="2" customFormat="1" x14ac:dyDescent="0.2">
      <c r="B39" s="22">
        <v>42415</v>
      </c>
      <c r="C39" s="23">
        <v>42416</v>
      </c>
      <c r="D39" s="23">
        <v>42417</v>
      </c>
      <c r="E39" s="23">
        <v>42418</v>
      </c>
      <c r="F39" s="23">
        <v>42419</v>
      </c>
      <c r="G39" s="23">
        <v>42420</v>
      </c>
      <c r="H39" s="23">
        <v>42421</v>
      </c>
      <c r="I39" s="18"/>
      <c r="J39" s="18"/>
      <c r="K39" s="39"/>
      <c r="L39" s="27"/>
    </row>
    <row r="40" spans="1:12" s="46" customFormat="1" x14ac:dyDescent="0.2">
      <c r="A40" s="46" t="s">
        <v>14</v>
      </c>
      <c r="B40" s="50"/>
      <c r="C40" s="51"/>
      <c r="D40" s="51"/>
      <c r="E40" s="51"/>
      <c r="F40" s="51"/>
      <c r="G40" s="51"/>
      <c r="H40" s="51"/>
      <c r="I40" s="52">
        <f>SUM(B40:H40)</f>
        <v>0</v>
      </c>
      <c r="J40" s="52">
        <v>86.301369863013704</v>
      </c>
      <c r="K40" s="41">
        <f>I40-J40</f>
        <v>-86.301369863013704</v>
      </c>
      <c r="L40" s="49"/>
    </row>
    <row r="41" spans="1:12" x14ac:dyDescent="0.2">
      <c r="A41" t="s">
        <v>15</v>
      </c>
      <c r="B41" s="50"/>
      <c r="C41" s="51"/>
      <c r="D41" s="51"/>
      <c r="E41" s="51"/>
      <c r="F41" s="51"/>
      <c r="G41" s="51"/>
      <c r="H41" s="51"/>
      <c r="I41" s="8">
        <f>SUM(B41:H41)</f>
        <v>0</v>
      </c>
      <c r="J41" s="8">
        <v>115.06849315068494</v>
      </c>
      <c r="K41" s="41">
        <f>I41-J41</f>
        <v>-115.06849315068494</v>
      </c>
      <c r="L41" s="17">
        <f>K40+K41+L36</f>
        <v>-604.10958904109589</v>
      </c>
    </row>
    <row r="42" spans="1:12" x14ac:dyDescent="0.2">
      <c r="A42" t="s">
        <v>17</v>
      </c>
      <c r="B42" s="57"/>
      <c r="C42" s="52"/>
      <c r="D42" s="52"/>
      <c r="E42" s="52"/>
      <c r="F42" s="52"/>
      <c r="G42" s="52"/>
      <c r="H42" s="52"/>
      <c r="I42" s="8">
        <f>SUM(B42:H42)</f>
        <v>0</v>
      </c>
      <c r="J42" s="8"/>
      <c r="K42" s="41"/>
      <c r="L42" s="17"/>
    </row>
    <row r="43" spans="1:12" s="46" customFormat="1" x14ac:dyDescent="0.2">
      <c r="A43" s="46" t="s">
        <v>2</v>
      </c>
      <c r="B43" s="50"/>
      <c r="C43" s="51"/>
      <c r="D43" s="51"/>
      <c r="E43" s="51"/>
      <c r="F43" s="51"/>
      <c r="G43" s="51"/>
      <c r="H43" s="51"/>
      <c r="I43" s="52">
        <f>SUM(B43:H43)</f>
        <v>0</v>
      </c>
      <c r="J43" s="52"/>
      <c r="K43" s="41"/>
      <c r="L43" s="49"/>
    </row>
    <row r="44" spans="1:12" s="2" customFormat="1" x14ac:dyDescent="0.2">
      <c r="B44" s="22">
        <v>42422</v>
      </c>
      <c r="C44" s="23">
        <v>42423</v>
      </c>
      <c r="D44" s="23">
        <v>42424</v>
      </c>
      <c r="E44" s="23">
        <v>42425</v>
      </c>
      <c r="F44" s="23">
        <v>42426</v>
      </c>
      <c r="G44" s="23">
        <v>42427</v>
      </c>
      <c r="H44" s="23">
        <v>42428</v>
      </c>
      <c r="I44" s="18"/>
      <c r="J44" s="18"/>
      <c r="K44" s="39"/>
      <c r="L44" s="27"/>
    </row>
    <row r="45" spans="1:12" s="46" customFormat="1" x14ac:dyDescent="0.2">
      <c r="A45" s="46" t="s">
        <v>14</v>
      </c>
      <c r="B45" s="50"/>
      <c r="C45" s="51"/>
      <c r="D45" s="51"/>
      <c r="E45" s="51"/>
      <c r="F45" s="51"/>
      <c r="G45" s="51"/>
      <c r="H45" s="51"/>
      <c r="I45" s="52">
        <f>SUM(B45:H45)</f>
        <v>0</v>
      </c>
      <c r="J45" s="52">
        <v>86.301369863013704</v>
      </c>
      <c r="K45" s="41">
        <f>I45-J45</f>
        <v>-86.301369863013704</v>
      </c>
      <c r="L45" s="49"/>
    </row>
    <row r="46" spans="1:12" x14ac:dyDescent="0.2">
      <c r="A46" t="s">
        <v>15</v>
      </c>
      <c r="B46" s="50"/>
      <c r="C46" s="51"/>
      <c r="D46" s="51"/>
      <c r="E46" s="51"/>
      <c r="F46" s="51"/>
      <c r="G46" s="51"/>
      <c r="H46" s="51"/>
      <c r="I46" s="8">
        <f>SUM(B46:H46)</f>
        <v>0</v>
      </c>
      <c r="J46" s="8">
        <v>115.06849315068494</v>
      </c>
      <c r="K46" s="41">
        <f>I46-J46</f>
        <v>-115.06849315068494</v>
      </c>
      <c r="L46" s="17">
        <f>K45+K46+L41</f>
        <v>-805.47945205479459</v>
      </c>
    </row>
    <row r="47" spans="1:12" x14ac:dyDescent="0.2">
      <c r="A47" t="s">
        <v>17</v>
      </c>
      <c r="B47" s="57"/>
      <c r="C47" s="52"/>
      <c r="D47" s="52"/>
      <c r="E47" s="52"/>
      <c r="F47" s="52"/>
      <c r="G47" s="52"/>
      <c r="H47" s="52"/>
      <c r="I47" s="8">
        <f>SUM(B47:H47)</f>
        <v>0</v>
      </c>
      <c r="J47" s="8"/>
      <c r="K47" s="41"/>
      <c r="L47" s="17"/>
    </row>
    <row r="48" spans="1:12" x14ac:dyDescent="0.2">
      <c r="A48" t="s">
        <v>2</v>
      </c>
      <c r="B48" s="50"/>
      <c r="C48" s="51"/>
      <c r="D48" s="51"/>
      <c r="E48" s="51"/>
      <c r="F48" s="51"/>
      <c r="G48" s="51"/>
      <c r="H48" s="51"/>
      <c r="I48" s="8">
        <f>SUM(B48:H48)</f>
        <v>0</v>
      </c>
      <c r="J48" s="8"/>
      <c r="K48" s="41"/>
      <c r="L48" s="16"/>
    </row>
    <row r="49" spans="1:13" s="2" customFormat="1" x14ac:dyDescent="0.2">
      <c r="B49" s="22">
        <v>42429</v>
      </c>
      <c r="C49" s="28"/>
      <c r="D49" s="28"/>
      <c r="E49" s="28"/>
      <c r="F49" s="28"/>
      <c r="G49" s="28"/>
      <c r="H49" s="28"/>
      <c r="I49" s="18"/>
      <c r="J49" s="18"/>
      <c r="K49" s="39"/>
      <c r="L49" s="27"/>
    </row>
    <row r="50" spans="1:13" s="46" customFormat="1" x14ac:dyDescent="0.2">
      <c r="A50" s="46" t="s">
        <v>14</v>
      </c>
      <c r="B50" s="50"/>
      <c r="C50" s="51"/>
      <c r="D50" s="51"/>
      <c r="E50" s="51"/>
      <c r="F50" s="51"/>
      <c r="G50" s="51"/>
      <c r="H50" s="51"/>
      <c r="I50" s="52">
        <f>SUM(B50:H50)</f>
        <v>0</v>
      </c>
      <c r="J50" s="52">
        <v>12.328767123287671</v>
      </c>
      <c r="K50" s="41">
        <f>I50-J50</f>
        <v>-12.328767123287671</v>
      </c>
      <c r="L50" s="49"/>
    </row>
    <row r="51" spans="1:13" x14ac:dyDescent="0.2">
      <c r="A51" t="s">
        <v>15</v>
      </c>
      <c r="B51" s="50"/>
      <c r="C51" s="51"/>
      <c r="D51" s="51"/>
      <c r="E51" s="51"/>
      <c r="F51" s="51"/>
      <c r="G51" s="51"/>
      <c r="H51" s="51"/>
      <c r="I51" s="8">
        <f>SUM(B51:H51)</f>
        <v>0</v>
      </c>
      <c r="J51" s="8">
        <v>16.438356164383563</v>
      </c>
      <c r="K51" s="41">
        <f>I51-J51</f>
        <v>-16.438356164383563</v>
      </c>
      <c r="L51" s="17">
        <f>K50+K51+L46+K53</f>
        <v>-944.2465753424658</v>
      </c>
    </row>
    <row r="52" spans="1:13" x14ac:dyDescent="0.2">
      <c r="A52" t="s">
        <v>17</v>
      </c>
      <c r="B52" s="57"/>
      <c r="C52" s="52"/>
      <c r="D52" s="52"/>
      <c r="E52" s="52"/>
      <c r="F52" s="52"/>
      <c r="G52" s="52"/>
      <c r="H52" s="52"/>
      <c r="I52" s="34">
        <f>SUM(I32,I37,I42,I47,B52:H52)</f>
        <v>0</v>
      </c>
      <c r="J52" s="30"/>
      <c r="K52" s="42">
        <f>I52-J52</f>
        <v>0</v>
      </c>
      <c r="L52" s="38" t="s">
        <v>17</v>
      </c>
    </row>
    <row r="53" spans="1:13" x14ac:dyDescent="0.2">
      <c r="A53" t="s">
        <v>2</v>
      </c>
      <c r="B53" s="50"/>
      <c r="C53" s="51"/>
      <c r="D53" s="51"/>
      <c r="E53" s="51"/>
      <c r="F53" s="51"/>
      <c r="G53" s="51"/>
      <c r="H53" s="51"/>
      <c r="I53" s="34">
        <f>SUM(I33,I38,I43,I48,B53:H53)</f>
        <v>0</v>
      </c>
      <c r="J53" s="30">
        <v>110</v>
      </c>
      <c r="K53" s="42">
        <f>I53-J53</f>
        <v>-110</v>
      </c>
      <c r="L53" s="35" t="s">
        <v>2</v>
      </c>
    </row>
    <row r="54" spans="1:13" x14ac:dyDescent="0.2">
      <c r="B54" s="11"/>
      <c r="C54" s="5"/>
      <c r="D54" s="5"/>
      <c r="E54" s="5"/>
      <c r="F54" s="5"/>
      <c r="G54" s="5"/>
      <c r="H54" s="36" t="s">
        <v>3</v>
      </c>
      <c r="I54" s="37">
        <f>SUM(I30:I51)</f>
        <v>0</v>
      </c>
      <c r="J54" s="37">
        <v>944.2465753424658</v>
      </c>
      <c r="K54" s="43">
        <f>SUM(K30:K53)</f>
        <v>-944.2465753424658</v>
      </c>
      <c r="L54" s="56">
        <f ca="1">IF($N$1&gt;B49,(-K54)/(DAYS360(B29,B49)-1),(IF(B29&lt;$N$1,(K54/(DAYS360($N$1,B49)+1)),(K54/(DAYS360(B29,B49)+1)))*-1))</f>
        <v>34.972095383054288</v>
      </c>
      <c r="M54" s="2"/>
    </row>
    <row r="55" spans="1:13" s="2" customFormat="1" x14ac:dyDescent="0.2">
      <c r="B55" s="24"/>
      <c r="C55" s="21">
        <v>42430</v>
      </c>
      <c r="D55" s="21">
        <v>42431</v>
      </c>
      <c r="E55" s="21">
        <v>42432</v>
      </c>
      <c r="F55" s="21">
        <v>42433</v>
      </c>
      <c r="G55" s="21">
        <v>42434</v>
      </c>
      <c r="H55" s="21">
        <v>42435</v>
      </c>
      <c r="I55" s="26"/>
      <c r="J55" s="26"/>
      <c r="K55" s="44"/>
      <c r="L55" s="27"/>
    </row>
    <row r="56" spans="1:13" x14ac:dyDescent="0.2">
      <c r="A56" t="s">
        <v>14</v>
      </c>
      <c r="B56" s="50"/>
      <c r="C56" s="51"/>
      <c r="D56" s="51"/>
      <c r="E56" s="51"/>
      <c r="F56" s="51"/>
      <c r="G56" s="51"/>
      <c r="H56" s="51"/>
      <c r="I56" s="8">
        <f>SUM(B56:H56)</f>
        <v>0</v>
      </c>
      <c r="J56" s="8">
        <v>73.972602739726028</v>
      </c>
      <c r="K56" s="41">
        <f>I56-J56</f>
        <v>-73.972602739726028</v>
      </c>
      <c r="L56" s="16"/>
    </row>
    <row r="57" spans="1:13" x14ac:dyDescent="0.2">
      <c r="A57" t="s">
        <v>15</v>
      </c>
      <c r="B57" s="50"/>
      <c r="C57" s="51"/>
      <c r="D57" s="51"/>
      <c r="E57" s="51"/>
      <c r="F57" s="51"/>
      <c r="G57" s="51"/>
      <c r="H57" s="51"/>
      <c r="I57" s="8">
        <f>SUM(B57:H57)</f>
        <v>0</v>
      </c>
      <c r="J57" s="8">
        <v>98.63013698630138</v>
      </c>
      <c r="K57" s="41">
        <f>I57-J57</f>
        <v>-98.63013698630138</v>
      </c>
      <c r="L57" s="17"/>
    </row>
    <row r="58" spans="1:13" x14ac:dyDescent="0.2">
      <c r="A58" t="s">
        <v>17</v>
      </c>
      <c r="B58" s="57"/>
      <c r="C58" s="52"/>
      <c r="D58" s="52"/>
      <c r="E58" s="52"/>
      <c r="F58" s="52"/>
      <c r="G58" s="52"/>
      <c r="H58" s="52"/>
      <c r="I58" s="8">
        <f>SUM(B58:H58)</f>
        <v>0</v>
      </c>
      <c r="J58" s="8"/>
      <c r="K58" s="41"/>
      <c r="L58" s="17"/>
    </row>
    <row r="59" spans="1:13" x14ac:dyDescent="0.2">
      <c r="A59" t="s">
        <v>2</v>
      </c>
      <c r="B59" s="50"/>
      <c r="C59" s="51"/>
      <c r="D59" s="51"/>
      <c r="E59" s="51"/>
      <c r="F59" s="51"/>
      <c r="G59" s="51"/>
      <c r="H59" s="51"/>
      <c r="I59" s="8">
        <f>SUM(B59:H59)</f>
        <v>0</v>
      </c>
      <c r="J59" s="8"/>
      <c r="K59" s="41"/>
      <c r="L59" s="16"/>
    </row>
    <row r="60" spans="1:13" s="2" customFormat="1" x14ac:dyDescent="0.2">
      <c r="B60" s="22">
        <v>42436</v>
      </c>
      <c r="C60" s="23">
        <v>42437</v>
      </c>
      <c r="D60" s="23">
        <v>42438</v>
      </c>
      <c r="E60" s="23">
        <v>42439</v>
      </c>
      <c r="F60" s="23">
        <v>42440</v>
      </c>
      <c r="G60" s="23">
        <v>42441</v>
      </c>
      <c r="H60" s="23">
        <v>42442</v>
      </c>
      <c r="I60" s="18"/>
      <c r="J60" s="18"/>
      <c r="K60" s="39"/>
      <c r="L60" s="27"/>
    </row>
    <row r="61" spans="1:13" x14ac:dyDescent="0.2">
      <c r="A61" t="s">
        <v>14</v>
      </c>
      <c r="B61" s="50"/>
      <c r="C61" s="51"/>
      <c r="D61" s="51"/>
      <c r="E61" s="51"/>
      <c r="F61" s="51"/>
      <c r="G61" s="51"/>
      <c r="H61" s="51"/>
      <c r="I61" s="8">
        <f>SUM(B61:H61)</f>
        <v>0</v>
      </c>
      <c r="J61" s="8">
        <v>86.301369863013704</v>
      </c>
      <c r="K61" s="41">
        <f>I61-J61</f>
        <v>-86.301369863013704</v>
      </c>
      <c r="L61" s="16"/>
    </row>
    <row r="62" spans="1:13" x14ac:dyDescent="0.2">
      <c r="A62" t="s">
        <v>15</v>
      </c>
      <c r="B62" s="50"/>
      <c r="C62" s="51"/>
      <c r="D62" s="51"/>
      <c r="E62" s="51"/>
      <c r="F62" s="51"/>
      <c r="G62" s="51"/>
      <c r="H62" s="51"/>
      <c r="I62" s="8">
        <f>SUM(B62:H62)</f>
        <v>0</v>
      </c>
      <c r="J62" s="8">
        <v>115.06849315068494</v>
      </c>
      <c r="K62" s="41">
        <f>I62-J62</f>
        <v>-115.06849315068494</v>
      </c>
      <c r="L62" s="17">
        <f>K61+K62+K56+K57</f>
        <v>-373.97260273972609</v>
      </c>
    </row>
    <row r="63" spans="1:13" x14ac:dyDescent="0.2">
      <c r="A63" t="s">
        <v>17</v>
      </c>
      <c r="B63" s="57"/>
      <c r="C63" s="52"/>
      <c r="D63" s="52"/>
      <c r="E63" s="52"/>
      <c r="F63" s="52"/>
      <c r="G63" s="52"/>
      <c r="H63" s="52"/>
      <c r="I63" s="8">
        <f>SUM(B63:H63)</f>
        <v>0</v>
      </c>
      <c r="J63" s="8"/>
      <c r="K63" s="41"/>
      <c r="L63" s="17"/>
    </row>
    <row r="64" spans="1:13" x14ac:dyDescent="0.2">
      <c r="A64" t="s">
        <v>2</v>
      </c>
      <c r="B64" s="50"/>
      <c r="C64" s="51"/>
      <c r="D64" s="51"/>
      <c r="E64" s="51"/>
      <c r="F64" s="51"/>
      <c r="G64" s="51"/>
      <c r="H64" s="51"/>
      <c r="I64" s="8">
        <f>SUM(B64:H64)</f>
        <v>0</v>
      </c>
      <c r="J64" s="8"/>
      <c r="K64" s="41"/>
      <c r="L64" s="16"/>
    </row>
    <row r="65" spans="1:12" s="2" customFormat="1" x14ac:dyDescent="0.2">
      <c r="B65" s="22">
        <v>42443</v>
      </c>
      <c r="C65" s="23">
        <v>42444</v>
      </c>
      <c r="D65" s="23">
        <v>42445</v>
      </c>
      <c r="E65" s="23">
        <v>42446</v>
      </c>
      <c r="F65" s="23">
        <v>42447</v>
      </c>
      <c r="G65" s="23">
        <v>42448</v>
      </c>
      <c r="H65" s="23">
        <v>42449</v>
      </c>
      <c r="I65" s="18"/>
      <c r="J65" s="18"/>
      <c r="K65" s="39"/>
      <c r="L65" s="27"/>
    </row>
    <row r="66" spans="1:12" x14ac:dyDescent="0.2">
      <c r="A66" t="s">
        <v>14</v>
      </c>
      <c r="B66" s="50"/>
      <c r="C66" s="51"/>
      <c r="D66" s="51"/>
      <c r="E66" s="51"/>
      <c r="F66" s="51"/>
      <c r="G66" s="51"/>
      <c r="H66" s="51"/>
      <c r="I66" s="8">
        <f>SUM(B66:H66)</f>
        <v>0</v>
      </c>
      <c r="J66" s="8">
        <v>86.301369863013704</v>
      </c>
      <c r="K66" s="41">
        <f>I66-J66</f>
        <v>-86.301369863013704</v>
      </c>
      <c r="L66" s="16"/>
    </row>
    <row r="67" spans="1:12" x14ac:dyDescent="0.2">
      <c r="A67" t="s">
        <v>15</v>
      </c>
      <c r="B67" s="50"/>
      <c r="C67" s="51"/>
      <c r="D67" s="51"/>
      <c r="E67" s="51"/>
      <c r="F67" s="51"/>
      <c r="G67" s="51"/>
      <c r="H67" s="51"/>
      <c r="I67" s="8">
        <f>SUM(B67:H67)</f>
        <v>0</v>
      </c>
      <c r="J67" s="8">
        <v>115.06849315068494</v>
      </c>
      <c r="K67" s="41">
        <f>I67-J67</f>
        <v>-115.06849315068494</v>
      </c>
      <c r="L67" s="17">
        <f>K66+K67+L62</f>
        <v>-575.34246575342468</v>
      </c>
    </row>
    <row r="68" spans="1:12" x14ac:dyDescent="0.2">
      <c r="A68" t="s">
        <v>17</v>
      </c>
      <c r="B68" s="57"/>
      <c r="C68" s="52"/>
      <c r="D68" s="52"/>
      <c r="E68" s="52"/>
      <c r="F68" s="52"/>
      <c r="G68" s="52"/>
      <c r="H68" s="52"/>
      <c r="I68" s="8">
        <f>SUM(B68:H68)</f>
        <v>0</v>
      </c>
      <c r="J68" s="8"/>
      <c r="K68" s="41"/>
      <c r="L68" s="17"/>
    </row>
    <row r="69" spans="1:12" x14ac:dyDescent="0.2">
      <c r="A69" t="s">
        <v>2</v>
      </c>
      <c r="B69" s="50"/>
      <c r="C69" s="51"/>
      <c r="D69" s="51"/>
      <c r="E69" s="51"/>
      <c r="F69" s="51"/>
      <c r="G69" s="51"/>
      <c r="H69" s="51"/>
      <c r="I69" s="8">
        <f>SUM(B69:H69)</f>
        <v>0</v>
      </c>
      <c r="J69" s="8"/>
      <c r="K69" s="41"/>
      <c r="L69" s="16"/>
    </row>
    <row r="70" spans="1:12" s="2" customFormat="1" x14ac:dyDescent="0.2">
      <c r="B70" s="22">
        <v>42450</v>
      </c>
      <c r="C70" s="23">
        <v>42451</v>
      </c>
      <c r="D70" s="23">
        <v>42452</v>
      </c>
      <c r="E70" s="23">
        <v>42453</v>
      </c>
      <c r="F70" s="23">
        <v>42454</v>
      </c>
      <c r="G70" s="23">
        <v>42455</v>
      </c>
      <c r="H70" s="23">
        <v>42456</v>
      </c>
      <c r="I70" s="18"/>
      <c r="J70" s="18"/>
      <c r="K70" s="39"/>
      <c r="L70" s="27"/>
    </row>
    <row r="71" spans="1:12" x14ac:dyDescent="0.2">
      <c r="A71" t="s">
        <v>14</v>
      </c>
      <c r="B71" s="50"/>
      <c r="C71" s="51"/>
      <c r="D71" s="51"/>
      <c r="E71" s="51"/>
      <c r="F71" s="51"/>
      <c r="G71" s="51"/>
      <c r="H71" s="51"/>
      <c r="I71" s="8">
        <f>SUM(B71:H71)</f>
        <v>0</v>
      </c>
      <c r="J71" s="8">
        <v>86.301369863013704</v>
      </c>
      <c r="K71" s="41">
        <f>I71-J71</f>
        <v>-86.301369863013704</v>
      </c>
      <c r="L71" s="16"/>
    </row>
    <row r="72" spans="1:12" x14ac:dyDescent="0.2">
      <c r="A72" t="s">
        <v>15</v>
      </c>
      <c r="B72" s="50"/>
      <c r="C72" s="51"/>
      <c r="D72" s="51"/>
      <c r="E72" s="51"/>
      <c r="F72" s="51"/>
      <c r="G72" s="51"/>
      <c r="H72" s="51"/>
      <c r="I72" s="8">
        <f>SUM(B72:H72)</f>
        <v>0</v>
      </c>
      <c r="J72" s="8">
        <v>115.06849315068494</v>
      </c>
      <c r="K72" s="41">
        <f>I72-J72</f>
        <v>-115.06849315068494</v>
      </c>
      <c r="L72" s="17">
        <f>K71+K72+L67</f>
        <v>-776.71232876712338</v>
      </c>
    </row>
    <row r="73" spans="1:12" x14ac:dyDescent="0.2">
      <c r="A73" t="s">
        <v>17</v>
      </c>
      <c r="B73" s="57"/>
      <c r="C73" s="52"/>
      <c r="D73" s="52"/>
      <c r="E73" s="52"/>
      <c r="F73" s="52"/>
      <c r="G73" s="52"/>
      <c r="H73" s="52"/>
      <c r="I73" s="8">
        <f>SUM(B73:H73)</f>
        <v>0</v>
      </c>
      <c r="J73" s="8"/>
      <c r="K73" s="41"/>
      <c r="L73" s="17"/>
    </row>
    <row r="74" spans="1:12" x14ac:dyDescent="0.2">
      <c r="A74" t="s">
        <v>2</v>
      </c>
      <c r="B74" s="50"/>
      <c r="C74" s="51"/>
      <c r="D74" s="51"/>
      <c r="E74" s="51"/>
      <c r="F74" s="51"/>
      <c r="G74" s="51"/>
      <c r="H74" s="51"/>
      <c r="I74" s="8">
        <f>SUM(B74:H74)</f>
        <v>0</v>
      </c>
      <c r="J74" s="8"/>
      <c r="K74" s="41"/>
      <c r="L74" s="16"/>
    </row>
    <row r="75" spans="1:12" s="2" customFormat="1" x14ac:dyDescent="0.2">
      <c r="B75" s="22">
        <v>42457</v>
      </c>
      <c r="C75" s="23">
        <v>42458</v>
      </c>
      <c r="D75" s="23">
        <v>42459</v>
      </c>
      <c r="E75" s="23">
        <v>42460</v>
      </c>
      <c r="F75" s="28"/>
      <c r="G75" s="28"/>
      <c r="H75" s="28"/>
      <c r="I75" s="18"/>
      <c r="J75" s="18"/>
      <c r="K75" s="39"/>
      <c r="L75" s="27"/>
    </row>
    <row r="76" spans="1:12" x14ac:dyDescent="0.2">
      <c r="A76" t="s">
        <v>14</v>
      </c>
      <c r="B76" s="50"/>
      <c r="C76" s="51"/>
      <c r="D76" s="51"/>
      <c r="E76" s="51"/>
      <c r="F76" s="51"/>
      <c r="G76" s="51"/>
      <c r="H76" s="51"/>
      <c r="I76" s="8">
        <f>SUM(B76:H76)</f>
        <v>0</v>
      </c>
      <c r="J76" s="8">
        <v>49.315068493150683</v>
      </c>
      <c r="K76" s="41">
        <f>I76-J76</f>
        <v>-49.315068493150683</v>
      </c>
      <c r="L76" s="16"/>
    </row>
    <row r="77" spans="1:12" x14ac:dyDescent="0.2">
      <c r="A77" t="s">
        <v>15</v>
      </c>
      <c r="B77" s="50"/>
      <c r="C77" s="51"/>
      <c r="D77" s="51"/>
      <c r="E77" s="51"/>
      <c r="F77" s="51"/>
      <c r="G77" s="51"/>
      <c r="H77" s="51"/>
      <c r="I77" s="8">
        <f>SUM(B77:H77)</f>
        <v>0</v>
      </c>
      <c r="J77" s="8">
        <v>65.753424657534254</v>
      </c>
      <c r="K77" s="41">
        <f>I77-J77</f>
        <v>-65.753424657534254</v>
      </c>
      <c r="L77" s="17">
        <f>K76+K77+L72+K79</f>
        <v>-1001.7808219178083</v>
      </c>
    </row>
    <row r="78" spans="1:12" x14ac:dyDescent="0.2">
      <c r="A78" t="s">
        <v>17</v>
      </c>
      <c r="B78" s="57"/>
      <c r="C78" s="52"/>
      <c r="D78" s="52"/>
      <c r="E78" s="52"/>
      <c r="F78" s="52"/>
      <c r="G78" s="52"/>
      <c r="H78" s="52"/>
      <c r="I78" s="34">
        <f>SUM(I58,I63,I68,I73,B78:H78)</f>
        <v>0</v>
      </c>
      <c r="J78" s="30"/>
      <c r="K78" s="42">
        <f>I78-J78</f>
        <v>0</v>
      </c>
      <c r="L78" s="38" t="s">
        <v>17</v>
      </c>
    </row>
    <row r="79" spans="1:12" x14ac:dyDescent="0.2">
      <c r="A79" t="s">
        <v>2</v>
      </c>
      <c r="B79" s="50"/>
      <c r="C79" s="51"/>
      <c r="D79" s="51"/>
      <c r="E79" s="51"/>
      <c r="F79" s="51"/>
      <c r="G79" s="51"/>
      <c r="H79" s="51"/>
      <c r="I79" s="34">
        <f>SUM(I59,I64,I69,I74,B79:H79)</f>
        <v>0</v>
      </c>
      <c r="J79" s="30">
        <v>110</v>
      </c>
      <c r="K79" s="42">
        <f>I79-J79</f>
        <v>-110</v>
      </c>
      <c r="L79" s="35" t="s">
        <v>2</v>
      </c>
    </row>
    <row r="80" spans="1:12" x14ac:dyDescent="0.2">
      <c r="B80" s="11"/>
      <c r="C80" s="5"/>
      <c r="D80" s="5"/>
      <c r="E80" s="5"/>
      <c r="F80" s="5"/>
      <c r="G80" s="5"/>
      <c r="H80" s="36" t="s">
        <v>3</v>
      </c>
      <c r="I80" s="30">
        <f>SUM(I56:I77)</f>
        <v>0</v>
      </c>
      <c r="J80" s="30">
        <v>1001.7808219178082</v>
      </c>
      <c r="K80" s="45">
        <f>SUM(K56:K79)</f>
        <v>-1001.7808219178082</v>
      </c>
      <c r="L80" s="56">
        <f ca="1">IF($N$1&gt;E75,(-K80)/(DAYS360(C55,E75)-1),(IF(C55&lt;$N$1,(K80/(DAYS360($N$1,E75)+1)),(K80/(DAYS360(C55,E75)+1)))*-1))</f>
        <v>34.544166273027869</v>
      </c>
    </row>
    <row r="81" spans="1:14" s="2" customFormat="1" x14ac:dyDescent="0.2">
      <c r="B81" s="24"/>
      <c r="C81" s="25"/>
      <c r="D81" s="25"/>
      <c r="E81" s="25"/>
      <c r="F81" s="21">
        <v>42461</v>
      </c>
      <c r="G81" s="21">
        <v>42462</v>
      </c>
      <c r="H81" s="21">
        <v>42463</v>
      </c>
      <c r="I81" s="26"/>
      <c r="J81" s="26"/>
      <c r="K81" s="44"/>
      <c r="L81" s="27"/>
    </row>
    <row r="82" spans="1:14" x14ac:dyDescent="0.2">
      <c r="A82" t="s">
        <v>14</v>
      </c>
      <c r="B82" s="50"/>
      <c r="C82" s="51"/>
      <c r="D82" s="51"/>
      <c r="E82" s="51"/>
      <c r="F82" s="51"/>
      <c r="G82" s="51"/>
      <c r="H82" s="51"/>
      <c r="I82" s="8">
        <f>SUM(B82:H82)</f>
        <v>0</v>
      </c>
      <c r="J82" s="8">
        <v>36.986301369863014</v>
      </c>
      <c r="K82" s="41">
        <f>I82-J82</f>
        <v>-36.986301369863014</v>
      </c>
      <c r="L82" s="16"/>
      <c r="N82" s="46"/>
    </row>
    <row r="83" spans="1:14" x14ac:dyDescent="0.2">
      <c r="A83" t="s">
        <v>15</v>
      </c>
      <c r="B83" s="50"/>
      <c r="C83" s="51"/>
      <c r="D83" s="51"/>
      <c r="E83" s="51"/>
      <c r="F83" s="51"/>
      <c r="G83" s="51"/>
      <c r="H83" s="51"/>
      <c r="I83" s="8">
        <f>SUM(B83:H83)</f>
        <v>0</v>
      </c>
      <c r="J83" s="8">
        <v>49.31506849315069</v>
      </c>
      <c r="K83" s="41">
        <f>I83-J83</f>
        <v>-49.31506849315069</v>
      </c>
      <c r="L83" s="17"/>
    </row>
    <row r="84" spans="1:14" x14ac:dyDescent="0.2">
      <c r="A84" t="s">
        <v>17</v>
      </c>
      <c r="B84" s="57"/>
      <c r="C84" s="52"/>
      <c r="D84" s="52"/>
      <c r="E84" s="52"/>
      <c r="F84" s="52"/>
      <c r="G84" s="52"/>
      <c r="H84" s="52"/>
      <c r="I84" s="8">
        <f>SUM(B84:H84)</f>
        <v>0</v>
      </c>
      <c r="J84" s="8"/>
      <c r="K84" s="41"/>
      <c r="L84" s="17"/>
    </row>
    <row r="85" spans="1:14" x14ac:dyDescent="0.2">
      <c r="A85" t="s">
        <v>2</v>
      </c>
      <c r="B85" s="50"/>
      <c r="C85" s="51"/>
      <c r="D85" s="51"/>
      <c r="E85" s="51"/>
      <c r="F85" s="51"/>
      <c r="G85" s="51"/>
      <c r="H85" s="51"/>
      <c r="I85" s="8">
        <f>SUM(B85:H85)</f>
        <v>0</v>
      </c>
      <c r="J85" s="8"/>
      <c r="K85" s="41"/>
      <c r="L85" s="16"/>
    </row>
    <row r="86" spans="1:14" s="2" customFormat="1" x14ac:dyDescent="0.2">
      <c r="B86" s="22">
        <v>42464</v>
      </c>
      <c r="C86" s="23">
        <v>42465</v>
      </c>
      <c r="D86" s="23">
        <v>42466</v>
      </c>
      <c r="E86" s="23">
        <v>42467</v>
      </c>
      <c r="F86" s="23">
        <v>42468</v>
      </c>
      <c r="G86" s="23">
        <v>42469</v>
      </c>
      <c r="H86" s="23">
        <v>42470</v>
      </c>
      <c r="I86" s="18"/>
      <c r="J86" s="18"/>
      <c r="K86" s="39"/>
      <c r="L86" s="27"/>
    </row>
    <row r="87" spans="1:14" x14ac:dyDescent="0.2">
      <c r="A87" t="s">
        <v>14</v>
      </c>
      <c r="B87" s="50"/>
      <c r="C87" s="51"/>
      <c r="D87" s="51"/>
      <c r="E87" s="51"/>
      <c r="F87" s="51"/>
      <c r="G87" s="51"/>
      <c r="H87" s="51"/>
      <c r="I87" s="8">
        <f>SUM(B87:H87)</f>
        <v>0</v>
      </c>
      <c r="J87" s="8">
        <v>86.301369863013704</v>
      </c>
      <c r="K87" s="41">
        <f>I87-J87</f>
        <v>-86.301369863013704</v>
      </c>
      <c r="L87" s="16"/>
    </row>
    <row r="88" spans="1:14" x14ac:dyDescent="0.2">
      <c r="A88" t="s">
        <v>15</v>
      </c>
      <c r="B88" s="50"/>
      <c r="C88" s="51"/>
      <c r="D88" s="51"/>
      <c r="E88" s="51"/>
      <c r="F88" s="51"/>
      <c r="G88" s="51"/>
      <c r="H88" s="51"/>
      <c r="I88" s="8">
        <f>SUM(B88:H88)</f>
        <v>0</v>
      </c>
      <c r="J88" s="8">
        <v>115.06849315068494</v>
      </c>
      <c r="K88" s="41">
        <f>I88-J88</f>
        <v>-115.06849315068494</v>
      </c>
      <c r="L88" s="17">
        <f>K87+K88+K82+K83</f>
        <v>-287.67123287671234</v>
      </c>
    </row>
    <row r="89" spans="1:14" x14ac:dyDescent="0.2">
      <c r="A89" t="s">
        <v>17</v>
      </c>
      <c r="B89" s="57"/>
      <c r="C89" s="52"/>
      <c r="D89" s="52"/>
      <c r="E89" s="52"/>
      <c r="F89" s="52"/>
      <c r="G89" s="52"/>
      <c r="H89" s="52"/>
      <c r="I89" s="8">
        <f>SUM(B89:H89)</f>
        <v>0</v>
      </c>
      <c r="J89" s="8"/>
      <c r="K89" s="41"/>
      <c r="L89" s="17"/>
    </row>
    <row r="90" spans="1:14" x14ac:dyDescent="0.2">
      <c r="A90" t="s">
        <v>2</v>
      </c>
      <c r="B90" s="50"/>
      <c r="C90" s="51"/>
      <c r="D90" s="51"/>
      <c r="E90" s="51"/>
      <c r="F90" s="51"/>
      <c r="G90" s="51"/>
      <c r="H90" s="51"/>
      <c r="I90" s="8">
        <f>SUM(B90:H90)</f>
        <v>0</v>
      </c>
      <c r="J90" s="8"/>
      <c r="K90" s="41"/>
      <c r="L90" s="16"/>
    </row>
    <row r="91" spans="1:14" s="2" customFormat="1" x14ac:dyDescent="0.2">
      <c r="B91" s="22">
        <v>42471</v>
      </c>
      <c r="C91" s="23">
        <v>42472</v>
      </c>
      <c r="D91" s="23">
        <v>42473</v>
      </c>
      <c r="E91" s="23">
        <v>42474</v>
      </c>
      <c r="F91" s="23">
        <v>42475</v>
      </c>
      <c r="G91" s="23">
        <v>42476</v>
      </c>
      <c r="H91" s="23">
        <v>42477</v>
      </c>
      <c r="I91" s="18"/>
      <c r="J91" s="18"/>
      <c r="K91" s="39"/>
      <c r="L91" s="27"/>
    </row>
    <row r="92" spans="1:14" x14ac:dyDescent="0.2">
      <c r="A92" t="s">
        <v>14</v>
      </c>
      <c r="B92" s="50"/>
      <c r="C92" s="51"/>
      <c r="D92" s="51"/>
      <c r="E92" s="51"/>
      <c r="F92" s="51"/>
      <c r="G92" s="51"/>
      <c r="H92" s="51"/>
      <c r="I92" s="8">
        <f>SUM(B92:H92)</f>
        <v>0</v>
      </c>
      <c r="J92" s="8">
        <v>86.301369863013704</v>
      </c>
      <c r="K92" s="41">
        <f>I92-J92</f>
        <v>-86.301369863013704</v>
      </c>
      <c r="L92" s="16"/>
    </row>
    <row r="93" spans="1:14" x14ac:dyDescent="0.2">
      <c r="A93" t="s">
        <v>15</v>
      </c>
      <c r="B93" s="50"/>
      <c r="C93" s="51"/>
      <c r="D93" s="51"/>
      <c r="E93" s="51"/>
      <c r="F93" s="51"/>
      <c r="G93" s="51"/>
      <c r="H93" s="51"/>
      <c r="I93" s="8">
        <f>SUM(B93:H93)</f>
        <v>0</v>
      </c>
      <c r="J93" s="8">
        <v>115.06849315068494</v>
      </c>
      <c r="K93" s="41">
        <f>I93-J93</f>
        <v>-115.06849315068494</v>
      </c>
      <c r="L93" s="17">
        <f>K92+K93+L88</f>
        <v>-489.04109589041099</v>
      </c>
    </row>
    <row r="94" spans="1:14" x14ac:dyDescent="0.2">
      <c r="A94" t="s">
        <v>17</v>
      </c>
      <c r="B94" s="57"/>
      <c r="C94" s="52"/>
      <c r="D94" s="52"/>
      <c r="E94" s="52"/>
      <c r="F94" s="52"/>
      <c r="G94" s="52"/>
      <c r="H94" s="52"/>
      <c r="I94" s="8">
        <f>SUM(B94:H94)</f>
        <v>0</v>
      </c>
      <c r="J94" s="8"/>
      <c r="K94" s="41"/>
      <c r="L94" s="17"/>
    </row>
    <row r="95" spans="1:14" x14ac:dyDescent="0.2">
      <c r="A95" t="s">
        <v>2</v>
      </c>
      <c r="B95" s="50"/>
      <c r="C95" s="51"/>
      <c r="D95" s="51"/>
      <c r="E95" s="51"/>
      <c r="F95" s="51"/>
      <c r="G95" s="51"/>
      <c r="H95" s="51"/>
      <c r="I95" s="8">
        <f>SUM(B95:H95)</f>
        <v>0</v>
      </c>
      <c r="J95" s="8"/>
      <c r="K95" s="41"/>
      <c r="L95" s="16"/>
    </row>
    <row r="96" spans="1:14" s="2" customFormat="1" x14ac:dyDescent="0.2">
      <c r="B96" s="22">
        <v>42478</v>
      </c>
      <c r="C96" s="23">
        <v>42479</v>
      </c>
      <c r="D96" s="23">
        <v>42480</v>
      </c>
      <c r="E96" s="23">
        <v>42481</v>
      </c>
      <c r="F96" s="23">
        <v>42482</v>
      </c>
      <c r="G96" s="23">
        <v>42483</v>
      </c>
      <c r="H96" s="23">
        <v>42484</v>
      </c>
      <c r="I96" s="18"/>
      <c r="J96" s="18"/>
      <c r="K96" s="39"/>
      <c r="L96" s="27"/>
    </row>
    <row r="97" spans="1:12" x14ac:dyDescent="0.2">
      <c r="A97" t="s">
        <v>14</v>
      </c>
      <c r="B97" s="50"/>
      <c r="C97" s="51"/>
      <c r="D97" s="51"/>
      <c r="E97" s="51"/>
      <c r="F97" s="51"/>
      <c r="G97" s="51"/>
      <c r="H97" s="51"/>
      <c r="I97" s="8">
        <f>SUM(B97:H97)</f>
        <v>0</v>
      </c>
      <c r="J97" s="8">
        <v>86.301369863013704</v>
      </c>
      <c r="K97" s="41">
        <f>I97-J97</f>
        <v>-86.301369863013704</v>
      </c>
      <c r="L97" s="16"/>
    </row>
    <row r="98" spans="1:12" x14ac:dyDescent="0.2">
      <c r="A98" t="s">
        <v>15</v>
      </c>
      <c r="B98" s="50"/>
      <c r="C98" s="51"/>
      <c r="D98" s="51"/>
      <c r="E98" s="51"/>
      <c r="F98" s="51"/>
      <c r="G98" s="51"/>
      <c r="H98" s="51"/>
      <c r="I98" s="8">
        <f>SUM(B98:H98)</f>
        <v>0</v>
      </c>
      <c r="J98" s="8">
        <v>115.06849315068494</v>
      </c>
      <c r="K98" s="41">
        <f>I98-J98</f>
        <v>-115.06849315068494</v>
      </c>
      <c r="L98" s="17">
        <f>K97+K98+L93</f>
        <v>-690.41095890410963</v>
      </c>
    </row>
    <row r="99" spans="1:12" x14ac:dyDescent="0.2">
      <c r="A99" t="s">
        <v>17</v>
      </c>
      <c r="B99" s="57"/>
      <c r="C99" s="52"/>
      <c r="D99" s="52"/>
      <c r="E99" s="52"/>
      <c r="F99" s="52"/>
      <c r="G99" s="52"/>
      <c r="H99" s="52"/>
      <c r="I99" s="8">
        <f>SUM(B99:H99)</f>
        <v>0</v>
      </c>
      <c r="J99" s="8"/>
      <c r="K99" s="41"/>
      <c r="L99" s="17"/>
    </row>
    <row r="100" spans="1:12" x14ac:dyDescent="0.2">
      <c r="A100" t="s">
        <v>2</v>
      </c>
      <c r="B100" s="50"/>
      <c r="C100" s="51"/>
      <c r="D100" s="51"/>
      <c r="E100" s="51"/>
      <c r="F100" s="51"/>
      <c r="G100" s="51"/>
      <c r="H100" s="51"/>
      <c r="I100" s="8">
        <f>SUM(B100:H100)</f>
        <v>0</v>
      </c>
      <c r="J100" s="8"/>
      <c r="K100" s="41"/>
      <c r="L100" s="16"/>
    </row>
    <row r="101" spans="1:12" s="2" customFormat="1" x14ac:dyDescent="0.2">
      <c r="B101" s="22">
        <v>42485</v>
      </c>
      <c r="C101" s="23">
        <v>42486</v>
      </c>
      <c r="D101" s="23">
        <v>42487</v>
      </c>
      <c r="E101" s="23">
        <v>42488</v>
      </c>
      <c r="F101" s="23">
        <v>42489</v>
      </c>
      <c r="G101" s="23">
        <v>42490</v>
      </c>
      <c r="H101" s="28"/>
      <c r="I101" s="18"/>
      <c r="J101" s="18"/>
      <c r="K101" s="39"/>
      <c r="L101" s="27"/>
    </row>
    <row r="102" spans="1:12" x14ac:dyDescent="0.2">
      <c r="A102" t="s">
        <v>14</v>
      </c>
      <c r="B102" s="50"/>
      <c r="C102" s="51"/>
      <c r="D102" s="51"/>
      <c r="E102" s="51"/>
      <c r="F102" s="51"/>
      <c r="G102" s="51"/>
      <c r="H102" s="51"/>
      <c r="I102" s="8">
        <f>SUM(B102:H102)</f>
        <v>0</v>
      </c>
      <c r="J102" s="8">
        <v>73.972602739726028</v>
      </c>
      <c r="K102" s="41">
        <f>I102-J102</f>
        <v>-73.972602739726028</v>
      </c>
      <c r="L102" s="16"/>
    </row>
    <row r="103" spans="1:12" x14ac:dyDescent="0.2">
      <c r="A103" t="s">
        <v>15</v>
      </c>
      <c r="B103" s="50"/>
      <c r="C103" s="51"/>
      <c r="D103" s="51"/>
      <c r="E103" s="51"/>
      <c r="F103" s="51"/>
      <c r="G103" s="51"/>
      <c r="H103" s="51"/>
      <c r="I103" s="8">
        <f>SUM(B103:H103)</f>
        <v>0</v>
      </c>
      <c r="J103" s="8">
        <v>98.63013698630138</v>
      </c>
      <c r="K103" s="41">
        <f>I103-J103</f>
        <v>-98.63013698630138</v>
      </c>
      <c r="L103" s="17">
        <f>K102+K103+L98+K105</f>
        <v>-973.01369863013701</v>
      </c>
    </row>
    <row r="104" spans="1:12" x14ac:dyDescent="0.2">
      <c r="A104" t="s">
        <v>17</v>
      </c>
      <c r="B104" s="57"/>
      <c r="C104" s="52"/>
      <c r="D104" s="52"/>
      <c r="E104" s="52"/>
      <c r="F104" s="52"/>
      <c r="G104" s="52"/>
      <c r="H104" s="52"/>
      <c r="I104" s="34">
        <f>SUM(I84,I89,I94,I99,B104:H104)</f>
        <v>0</v>
      </c>
      <c r="J104" s="30"/>
      <c r="K104" s="42">
        <f>I104-J104</f>
        <v>0</v>
      </c>
      <c r="L104" s="38" t="s">
        <v>17</v>
      </c>
    </row>
    <row r="105" spans="1:12" x14ac:dyDescent="0.2">
      <c r="A105" t="s">
        <v>2</v>
      </c>
      <c r="B105" s="50"/>
      <c r="C105" s="51"/>
      <c r="D105" s="51"/>
      <c r="E105" s="51"/>
      <c r="F105" s="51"/>
      <c r="G105" s="51"/>
      <c r="H105" s="51"/>
      <c r="I105" s="34">
        <f>SUM(I85,I90,I95,I100,B105:H105)</f>
        <v>0</v>
      </c>
      <c r="J105" s="30">
        <v>110</v>
      </c>
      <c r="K105" s="42">
        <f>I105-J105</f>
        <v>-110</v>
      </c>
      <c r="L105" s="35" t="s">
        <v>2</v>
      </c>
    </row>
    <row r="106" spans="1:12" x14ac:dyDescent="0.2">
      <c r="B106" s="9"/>
      <c r="C106" s="10"/>
      <c r="D106" s="10"/>
      <c r="E106" s="10"/>
      <c r="F106" s="10"/>
      <c r="G106" s="10"/>
      <c r="H106" s="29" t="s">
        <v>3</v>
      </c>
      <c r="I106" s="30">
        <f>SUM(I82:I103)</f>
        <v>0</v>
      </c>
      <c r="J106" s="30">
        <v>973.01369863013713</v>
      </c>
      <c r="K106" s="45">
        <f>SUM(K82:K105)</f>
        <v>-973.01369863013713</v>
      </c>
      <c r="L106" s="56">
        <f ca="1">IF($N$1&gt;G101,(-K106)/(DAYS360(F81,G101)-1),(IF(F81&lt;$N$1,(K106/(DAYS360($N$1,G101)+1)),(K106/(DAYS360(F81,G101)+1)))*-1))</f>
        <v>34.750489236790614</v>
      </c>
    </row>
    <row r="107" spans="1:12" s="2" customFormat="1" x14ac:dyDescent="0.2">
      <c r="B107" s="24"/>
      <c r="C107" s="21"/>
      <c r="D107" s="21"/>
      <c r="E107" s="21"/>
      <c r="F107" s="21"/>
      <c r="G107" s="21"/>
      <c r="H107" s="21">
        <v>42491</v>
      </c>
      <c r="I107" s="26"/>
      <c r="J107" s="26"/>
      <c r="K107" s="44"/>
      <c r="L107" s="27"/>
    </row>
    <row r="108" spans="1:12" x14ac:dyDescent="0.2">
      <c r="A108" t="s">
        <v>14</v>
      </c>
      <c r="B108" s="9"/>
      <c r="C108" s="51"/>
      <c r="D108" s="51"/>
      <c r="E108" s="10"/>
      <c r="F108" s="51"/>
      <c r="G108" s="51"/>
      <c r="H108" s="51"/>
      <c r="I108" s="52">
        <f>SUM(C108:H108)</f>
        <v>0</v>
      </c>
      <c r="J108" s="8">
        <v>12.328767123287671</v>
      </c>
      <c r="K108" s="41">
        <f>I108-J108</f>
        <v>-12.328767123287671</v>
      </c>
      <c r="L108" s="16"/>
    </row>
    <row r="109" spans="1:12" x14ac:dyDescent="0.2">
      <c r="A109" t="s">
        <v>15</v>
      </c>
      <c r="B109" s="9"/>
      <c r="C109" s="51"/>
      <c r="D109" s="10"/>
      <c r="E109" s="51"/>
      <c r="F109" s="51"/>
      <c r="G109" s="51"/>
      <c r="H109" s="51"/>
      <c r="I109" s="52">
        <f>SUM(C109:H109)</f>
        <v>0</v>
      </c>
      <c r="J109" s="8">
        <v>16.438356164383563</v>
      </c>
      <c r="K109" s="41">
        <f>I109-J109</f>
        <v>-16.438356164383563</v>
      </c>
      <c r="L109" s="17"/>
    </row>
    <row r="110" spans="1:12" x14ac:dyDescent="0.2">
      <c r="A110" t="s">
        <v>17</v>
      </c>
      <c r="B110" s="9"/>
      <c r="C110" s="52"/>
      <c r="D110" s="52"/>
      <c r="E110" s="52"/>
      <c r="F110" s="52"/>
      <c r="G110" s="52"/>
      <c r="H110" s="52"/>
      <c r="I110" s="8">
        <f>SUM(C110:H110)</f>
        <v>0</v>
      </c>
      <c r="J110" s="8"/>
      <c r="K110" s="41"/>
      <c r="L110" s="17"/>
    </row>
    <row r="111" spans="1:12" x14ac:dyDescent="0.2">
      <c r="A111" t="s">
        <v>2</v>
      </c>
      <c r="B111" s="9"/>
      <c r="C111" s="51"/>
      <c r="D111" s="51"/>
      <c r="E111" s="51"/>
      <c r="F111" s="51"/>
      <c r="G111" s="51"/>
      <c r="H111" s="51"/>
      <c r="I111" s="8">
        <f>SUM(C111:H111)</f>
        <v>0</v>
      </c>
      <c r="J111" s="8"/>
      <c r="K111" s="41"/>
      <c r="L111" s="58"/>
    </row>
    <row r="112" spans="1:12" s="2" customFormat="1" x14ac:dyDescent="0.2">
      <c r="B112" s="22">
        <v>42492</v>
      </c>
      <c r="C112" s="23">
        <v>42493</v>
      </c>
      <c r="D112" s="23">
        <v>42494</v>
      </c>
      <c r="E112" s="23">
        <v>42495</v>
      </c>
      <c r="F112" s="23">
        <v>42496</v>
      </c>
      <c r="G112" s="23">
        <v>42497</v>
      </c>
      <c r="H112" s="23">
        <v>42498</v>
      </c>
      <c r="I112" s="18"/>
      <c r="J112" s="18"/>
      <c r="K112" s="39"/>
      <c r="L112" s="27"/>
    </row>
    <row r="113" spans="1:12" x14ac:dyDescent="0.2">
      <c r="A113" t="s">
        <v>14</v>
      </c>
      <c r="B113" s="50"/>
      <c r="C113" s="51"/>
      <c r="D113" s="8"/>
      <c r="E113" s="51"/>
      <c r="F113" s="51"/>
      <c r="G113" s="51"/>
      <c r="H113" s="51"/>
      <c r="I113" s="52">
        <f>SUM(B113:H113)</f>
        <v>0</v>
      </c>
      <c r="J113" s="8">
        <v>86.301369863013704</v>
      </c>
      <c r="K113" s="41">
        <f>I113-J113</f>
        <v>-86.301369863013704</v>
      </c>
      <c r="L113" s="16"/>
    </row>
    <row r="114" spans="1:12" x14ac:dyDescent="0.2">
      <c r="A114" t="s">
        <v>15</v>
      </c>
      <c r="B114" s="50"/>
      <c r="C114" s="10"/>
      <c r="D114" s="51"/>
      <c r="E114" s="51"/>
      <c r="F114" s="51"/>
      <c r="G114" s="51"/>
      <c r="H114" s="51"/>
      <c r="I114" s="52">
        <f>SUM(B114:H114)</f>
        <v>0</v>
      </c>
      <c r="J114" s="8">
        <v>115.06849315068494</v>
      </c>
      <c r="K114" s="41">
        <f>I114-J114</f>
        <v>-115.06849315068494</v>
      </c>
      <c r="L114" s="49">
        <f>K113+K114+K108+K109</f>
        <v>-230.13698630136986</v>
      </c>
    </row>
    <row r="115" spans="1:12" x14ac:dyDescent="0.2">
      <c r="A115" t="s">
        <v>17</v>
      </c>
      <c r="B115" s="57"/>
      <c r="C115" s="52"/>
      <c r="D115" s="52"/>
      <c r="E115" s="52"/>
      <c r="F115" s="52"/>
      <c r="G115" s="52"/>
      <c r="H115" s="52"/>
      <c r="I115" s="52">
        <f>SUM(B115:H115)</f>
        <v>0</v>
      </c>
      <c r="J115" s="8"/>
      <c r="K115" s="41"/>
      <c r="L115" s="17"/>
    </row>
    <row r="116" spans="1:12" x14ac:dyDescent="0.2">
      <c r="A116" t="s">
        <v>2</v>
      </c>
      <c r="B116" s="50"/>
      <c r="C116" s="51"/>
      <c r="D116" s="51"/>
      <c r="E116" s="51"/>
      <c r="F116" s="51"/>
      <c r="G116" s="51"/>
      <c r="H116" s="51"/>
      <c r="I116" s="52">
        <f>SUM(B116:H116)</f>
        <v>0</v>
      </c>
      <c r="J116" s="8"/>
      <c r="K116" s="41"/>
      <c r="L116" s="16"/>
    </row>
    <row r="117" spans="1:12" s="2" customFormat="1" x14ac:dyDescent="0.2">
      <c r="B117" s="22">
        <v>42499</v>
      </c>
      <c r="C117" s="23">
        <v>42500</v>
      </c>
      <c r="D117" s="23">
        <v>42501</v>
      </c>
      <c r="E117" s="23">
        <v>42502</v>
      </c>
      <c r="F117" s="23">
        <v>42503</v>
      </c>
      <c r="G117" s="23">
        <v>42504</v>
      </c>
      <c r="H117" s="23">
        <v>42505</v>
      </c>
      <c r="I117" s="18"/>
      <c r="J117" s="18"/>
      <c r="K117" s="39"/>
      <c r="L117" s="27"/>
    </row>
    <row r="118" spans="1:12" x14ac:dyDescent="0.2">
      <c r="A118" t="s">
        <v>14</v>
      </c>
      <c r="B118" s="50"/>
      <c r="C118" s="51"/>
      <c r="D118" s="51"/>
      <c r="E118" s="51"/>
      <c r="F118" s="51"/>
      <c r="G118" s="51"/>
      <c r="H118" s="51"/>
      <c r="I118" s="8">
        <f>SUM(B118:G118)</f>
        <v>0</v>
      </c>
      <c r="J118" s="8">
        <v>86.301369863013704</v>
      </c>
      <c r="K118" s="41">
        <f>I118-J118</f>
        <v>-86.301369863013704</v>
      </c>
      <c r="L118" s="16"/>
    </row>
    <row r="119" spans="1:12" x14ac:dyDescent="0.2">
      <c r="A119" t="s">
        <v>15</v>
      </c>
      <c r="B119" s="50"/>
      <c r="C119" s="51"/>
      <c r="D119" s="51"/>
      <c r="E119" s="51"/>
      <c r="F119" s="51"/>
      <c r="G119" s="51"/>
      <c r="H119" s="51"/>
      <c r="I119" s="8">
        <f>SUM(B119:G119)</f>
        <v>0</v>
      </c>
      <c r="J119" s="8">
        <v>115.06849315068494</v>
      </c>
      <c r="K119" s="41">
        <f>I119-J119</f>
        <v>-115.06849315068494</v>
      </c>
      <c r="L119" s="49">
        <f>K118+K119+L114</f>
        <v>-431.50684931506851</v>
      </c>
    </row>
    <row r="120" spans="1:12" x14ac:dyDescent="0.2">
      <c r="A120" t="s">
        <v>17</v>
      </c>
      <c r="B120" s="57"/>
      <c r="C120" s="52"/>
      <c r="D120" s="52"/>
      <c r="E120" s="52"/>
      <c r="F120" s="52"/>
      <c r="G120" s="52"/>
      <c r="H120" s="52"/>
      <c r="I120" s="8">
        <f>SUM(B120:G120)</f>
        <v>0</v>
      </c>
      <c r="J120" s="8"/>
      <c r="K120" s="41"/>
      <c r="L120" s="17"/>
    </row>
    <row r="121" spans="1:12" x14ac:dyDescent="0.2">
      <c r="A121" t="s">
        <v>2</v>
      </c>
      <c r="B121" s="9"/>
      <c r="C121" s="51"/>
      <c r="D121" s="51"/>
      <c r="E121" s="51"/>
      <c r="F121" s="51"/>
      <c r="G121" s="51"/>
      <c r="H121" s="51"/>
      <c r="I121" s="8">
        <f>SUM(B121:H121)</f>
        <v>0</v>
      </c>
      <c r="J121" s="8"/>
      <c r="K121" s="41"/>
      <c r="L121" s="16"/>
    </row>
    <row r="122" spans="1:12" s="2" customFormat="1" x14ac:dyDescent="0.2">
      <c r="B122" s="22">
        <v>42506</v>
      </c>
      <c r="C122" s="23">
        <v>42507</v>
      </c>
      <c r="D122" s="23">
        <v>42508</v>
      </c>
      <c r="E122" s="23">
        <v>42509</v>
      </c>
      <c r="F122" s="23">
        <v>42510</v>
      </c>
      <c r="G122" s="23">
        <v>42511</v>
      </c>
      <c r="H122" s="23">
        <v>42512</v>
      </c>
      <c r="I122" s="18"/>
      <c r="J122" s="18"/>
      <c r="K122" s="39"/>
      <c r="L122" s="27"/>
    </row>
    <row r="123" spans="1:12" x14ac:dyDescent="0.2">
      <c r="A123" t="s">
        <v>14</v>
      </c>
      <c r="B123" s="50"/>
      <c r="C123" s="51"/>
      <c r="D123" s="51"/>
      <c r="E123" s="51"/>
      <c r="F123" s="51"/>
      <c r="G123" s="51"/>
      <c r="H123" s="51"/>
      <c r="I123" s="52">
        <f>SUM(B123:H123)</f>
        <v>0</v>
      </c>
      <c r="J123" s="8">
        <v>86.301369863013704</v>
      </c>
      <c r="K123" s="41">
        <f>I123-J123</f>
        <v>-86.301369863013704</v>
      </c>
      <c r="L123" s="16"/>
    </row>
    <row r="124" spans="1:12" x14ac:dyDescent="0.2">
      <c r="A124" t="s">
        <v>15</v>
      </c>
      <c r="B124" s="50"/>
      <c r="C124" s="51"/>
      <c r="D124" s="51"/>
      <c r="E124" s="51"/>
      <c r="F124" s="51"/>
      <c r="G124" s="51"/>
      <c r="H124" s="51"/>
      <c r="I124" s="8">
        <f>SUM(B124:G124)</f>
        <v>0</v>
      </c>
      <c r="J124" s="8">
        <v>115.06849315068494</v>
      </c>
      <c r="K124" s="41">
        <f>I124-J124</f>
        <v>-115.06849315068494</v>
      </c>
      <c r="L124" s="17">
        <f>K123+K124+L119</f>
        <v>-632.8767123287671</v>
      </c>
    </row>
    <row r="125" spans="1:12" x14ac:dyDescent="0.2">
      <c r="A125" t="s">
        <v>17</v>
      </c>
      <c r="B125" s="57"/>
      <c r="C125" s="52"/>
      <c r="D125" s="52"/>
      <c r="E125" s="52"/>
      <c r="F125" s="52"/>
      <c r="G125" s="52"/>
      <c r="H125" s="52"/>
      <c r="I125" s="8">
        <f>SUM(B125:G125)</f>
        <v>0</v>
      </c>
      <c r="J125" s="8"/>
      <c r="K125" s="41"/>
      <c r="L125" s="17"/>
    </row>
    <row r="126" spans="1:12" x14ac:dyDescent="0.2">
      <c r="A126" t="s">
        <v>2</v>
      </c>
      <c r="B126" s="50"/>
      <c r="C126" s="51"/>
      <c r="D126" s="51"/>
      <c r="E126" s="51"/>
      <c r="F126" s="51"/>
      <c r="G126" s="51"/>
      <c r="H126" s="51"/>
      <c r="I126" s="8">
        <f>SUM(B126:G126)</f>
        <v>0</v>
      </c>
      <c r="J126" s="8"/>
      <c r="K126" s="41"/>
      <c r="L126" s="16"/>
    </row>
    <row r="127" spans="1:12" s="2" customFormat="1" x14ac:dyDescent="0.2">
      <c r="B127" s="22">
        <v>42513</v>
      </c>
      <c r="C127" s="23">
        <v>42514</v>
      </c>
      <c r="D127" s="23">
        <v>42515</v>
      </c>
      <c r="E127" s="23">
        <v>42516</v>
      </c>
      <c r="F127" s="23">
        <v>42517</v>
      </c>
      <c r="G127" s="23">
        <v>42518</v>
      </c>
      <c r="H127" s="23">
        <v>42519</v>
      </c>
      <c r="I127" s="18"/>
      <c r="J127" s="18"/>
      <c r="K127" s="39"/>
      <c r="L127" s="27"/>
    </row>
    <row r="128" spans="1:12" x14ac:dyDescent="0.2">
      <c r="A128" t="s">
        <v>14</v>
      </c>
      <c r="B128" s="50"/>
      <c r="C128" s="51"/>
      <c r="D128" s="51"/>
      <c r="E128" s="51"/>
      <c r="F128" s="51"/>
      <c r="G128" s="51"/>
      <c r="H128" s="51"/>
      <c r="I128" s="52">
        <f>SUM(B128:H128)</f>
        <v>0</v>
      </c>
      <c r="J128" s="8">
        <v>86.301369863013704</v>
      </c>
      <c r="K128" s="41">
        <f>I128-J128</f>
        <v>-86.301369863013704</v>
      </c>
      <c r="L128" s="16"/>
    </row>
    <row r="129" spans="1:12" x14ac:dyDescent="0.2">
      <c r="A129" t="s">
        <v>15</v>
      </c>
      <c r="B129" s="50"/>
      <c r="C129" s="51"/>
      <c r="D129" s="51"/>
      <c r="E129" s="51"/>
      <c r="F129" s="51"/>
      <c r="G129" s="51"/>
      <c r="H129" s="51"/>
      <c r="I129" s="52">
        <f>SUM(B129:H129)</f>
        <v>0</v>
      </c>
      <c r="J129" s="8">
        <v>115.06849315068494</v>
      </c>
      <c r="K129" s="41">
        <f>I129-J129</f>
        <v>-115.06849315068494</v>
      </c>
      <c r="L129" s="17">
        <f>K128+K129+L124</f>
        <v>-834.2465753424658</v>
      </c>
    </row>
    <row r="130" spans="1:12" x14ac:dyDescent="0.2">
      <c r="A130" t="s">
        <v>17</v>
      </c>
      <c r="B130" s="57"/>
      <c r="C130" s="52"/>
      <c r="D130" s="52"/>
      <c r="E130" s="52"/>
      <c r="F130" s="52"/>
      <c r="G130" s="52"/>
      <c r="H130" s="52"/>
      <c r="I130" s="52">
        <f>SUM(B130:H130)</f>
        <v>0</v>
      </c>
      <c r="J130" s="8"/>
      <c r="K130" s="41"/>
      <c r="L130" s="17"/>
    </row>
    <row r="131" spans="1:12" x14ac:dyDescent="0.2">
      <c r="A131" t="s">
        <v>19</v>
      </c>
      <c r="B131" s="50"/>
      <c r="C131" s="51"/>
      <c r="D131" s="51"/>
      <c r="E131" s="51"/>
      <c r="F131" s="51"/>
      <c r="G131" s="51"/>
      <c r="H131" s="51"/>
      <c r="I131" s="52">
        <f>SUM(B131:H131)</f>
        <v>0</v>
      </c>
      <c r="J131" s="8"/>
      <c r="K131" s="41"/>
      <c r="L131" s="16"/>
    </row>
    <row r="132" spans="1:12" x14ac:dyDescent="0.2">
      <c r="A132" s="2"/>
      <c r="B132" s="22">
        <v>42520</v>
      </c>
      <c r="C132" s="23">
        <v>42521</v>
      </c>
      <c r="D132" s="10"/>
      <c r="E132" s="28"/>
      <c r="F132" s="28"/>
      <c r="G132" s="28"/>
      <c r="H132" s="28"/>
      <c r="I132" s="18"/>
      <c r="J132" s="18"/>
      <c r="K132" s="39"/>
      <c r="L132" s="27"/>
    </row>
    <row r="133" spans="1:12" s="2" customFormat="1" x14ac:dyDescent="0.2">
      <c r="A133" t="s">
        <v>14</v>
      </c>
      <c r="B133" s="50"/>
      <c r="C133" s="51"/>
      <c r="D133" s="28"/>
      <c r="E133" s="51"/>
      <c r="F133" s="51"/>
      <c r="G133" s="51"/>
      <c r="H133" s="51"/>
      <c r="I133" s="52">
        <f>SUM(B133:H133)</f>
        <v>0</v>
      </c>
      <c r="J133" s="8">
        <v>24.657534246575342</v>
      </c>
      <c r="K133" s="41">
        <f>I133-J133</f>
        <v>-24.657534246575342</v>
      </c>
      <c r="L133" s="16"/>
    </row>
    <row r="134" spans="1:12" x14ac:dyDescent="0.2">
      <c r="A134" t="s">
        <v>15</v>
      </c>
      <c r="B134" s="50"/>
      <c r="C134" s="51"/>
      <c r="D134" s="10"/>
      <c r="E134" s="51"/>
      <c r="F134" s="51"/>
      <c r="G134" s="51"/>
      <c r="H134" s="51"/>
      <c r="I134" s="52">
        <f>SUM(B134:H134)</f>
        <v>0</v>
      </c>
      <c r="J134" s="8">
        <v>32.876712328767127</v>
      </c>
      <c r="K134" s="41">
        <f>I134-J134</f>
        <v>-32.876712328767127</v>
      </c>
      <c r="L134" s="49">
        <f>K133+K134+L129+K136</f>
        <v>-1001.7808219178082</v>
      </c>
    </row>
    <row r="135" spans="1:12" x14ac:dyDescent="0.2">
      <c r="A135" t="s">
        <v>17</v>
      </c>
      <c r="B135" s="57"/>
      <c r="C135" s="52"/>
      <c r="E135" s="52"/>
      <c r="F135" s="52"/>
      <c r="G135" s="52"/>
      <c r="H135" s="52"/>
      <c r="I135" s="34">
        <f>SUM(I115,I120,I125,I130,B135:H135)</f>
        <v>0</v>
      </c>
      <c r="J135" s="30"/>
      <c r="K135" s="42">
        <f>I135-J135</f>
        <v>0</v>
      </c>
      <c r="L135" s="38" t="s">
        <v>17</v>
      </c>
    </row>
    <row r="136" spans="1:12" x14ac:dyDescent="0.2">
      <c r="A136" t="s">
        <v>2</v>
      </c>
      <c r="B136" s="50"/>
      <c r="C136" s="51"/>
      <c r="E136" s="51"/>
      <c r="F136" s="51"/>
      <c r="G136" s="51"/>
      <c r="H136" s="51"/>
      <c r="I136" s="34">
        <f>SUM(I111,I116,I121,I126,I131,B136:H136)</f>
        <v>0</v>
      </c>
      <c r="J136" s="30">
        <v>110</v>
      </c>
      <c r="K136" s="42">
        <f>I136-J136</f>
        <v>-110</v>
      </c>
      <c r="L136" s="35" t="s">
        <v>2</v>
      </c>
    </row>
    <row r="137" spans="1:12" x14ac:dyDescent="0.2">
      <c r="B137" s="9"/>
      <c r="C137" s="10"/>
      <c r="D137" s="10"/>
      <c r="E137" s="10"/>
      <c r="F137" s="10"/>
      <c r="G137" s="10"/>
      <c r="H137" s="29" t="s">
        <v>3</v>
      </c>
      <c r="I137" s="30">
        <f>SUM(I107:I134)</f>
        <v>0</v>
      </c>
      <c r="J137" s="30">
        <v>1001.7808219178083</v>
      </c>
      <c r="K137" s="45">
        <f>SUM(K107:K136)</f>
        <v>-1001.7808219178083</v>
      </c>
      <c r="L137" s="56">
        <f ca="1">IF($N$1&gt;C132,(-K137)/(DAYS360(H107,C132)-1),(IF(H107&lt;$N$1,(K137/(DAYS360($N$1,C132)+1)),(K137/(DAYS360(H107,C132)+1)))*-1))</f>
        <v>34.544166273027876</v>
      </c>
    </row>
    <row r="138" spans="1:12" s="2" customFormat="1" x14ac:dyDescent="0.2">
      <c r="B138" s="24"/>
      <c r="C138" s="25"/>
      <c r="D138" s="21">
        <v>42522</v>
      </c>
      <c r="E138" s="21">
        <v>42523</v>
      </c>
      <c r="F138" s="21">
        <v>42524</v>
      </c>
      <c r="G138" s="21">
        <v>42525</v>
      </c>
      <c r="H138" s="21">
        <v>42526</v>
      </c>
      <c r="I138" s="26"/>
      <c r="J138" s="26"/>
      <c r="K138" s="44"/>
      <c r="L138" s="27"/>
    </row>
    <row r="139" spans="1:12" x14ac:dyDescent="0.2">
      <c r="A139" t="s">
        <v>14</v>
      </c>
      <c r="B139" s="50"/>
      <c r="C139" s="51"/>
      <c r="D139" s="51"/>
      <c r="E139" s="51"/>
      <c r="F139" s="51"/>
      <c r="G139" s="51"/>
      <c r="H139" s="51"/>
      <c r="I139" s="8">
        <f>SUM(B139:H139)</f>
        <v>0</v>
      </c>
      <c r="J139" s="8">
        <v>61.643835616438359</v>
      </c>
      <c r="K139" s="41">
        <f>I139-J139</f>
        <v>-61.643835616438359</v>
      </c>
      <c r="L139" s="16"/>
    </row>
    <row r="140" spans="1:12" x14ac:dyDescent="0.2">
      <c r="A140" t="s">
        <v>15</v>
      </c>
      <c r="B140" s="50"/>
      <c r="C140" s="51"/>
      <c r="D140" s="51"/>
      <c r="E140" s="51"/>
      <c r="F140" s="51"/>
      <c r="G140" s="51"/>
      <c r="H140" s="51"/>
      <c r="I140" s="8">
        <f>SUM(B140:H140)</f>
        <v>0</v>
      </c>
      <c r="J140" s="8">
        <v>82.191780821917817</v>
      </c>
      <c r="K140" s="41">
        <f>I140-J140</f>
        <v>-82.191780821917817</v>
      </c>
      <c r="L140" s="17"/>
    </row>
    <row r="141" spans="1:12" x14ac:dyDescent="0.2">
      <c r="A141" t="s">
        <v>17</v>
      </c>
      <c r="B141" s="57"/>
      <c r="C141" s="52"/>
      <c r="D141" s="52"/>
      <c r="E141" s="52"/>
      <c r="F141" s="52"/>
      <c r="G141" s="52"/>
      <c r="H141" s="52"/>
      <c r="I141" s="8">
        <f>SUM(B141:H141)</f>
        <v>0</v>
      </c>
      <c r="J141" s="8"/>
      <c r="K141" s="41"/>
      <c r="L141" s="17"/>
    </row>
    <row r="142" spans="1:12" x14ac:dyDescent="0.2">
      <c r="A142" t="s">
        <v>2</v>
      </c>
      <c r="B142" s="50"/>
      <c r="C142" s="51"/>
      <c r="D142" s="51"/>
      <c r="E142" s="51"/>
      <c r="F142" s="51"/>
      <c r="G142" s="51"/>
      <c r="H142" s="51"/>
      <c r="I142" s="8">
        <f>SUM(B142:H142)</f>
        <v>0</v>
      </c>
      <c r="J142" s="8"/>
      <c r="K142" s="41"/>
      <c r="L142" s="16"/>
    </row>
    <row r="143" spans="1:12" s="2" customFormat="1" x14ac:dyDescent="0.2">
      <c r="B143" s="22">
        <v>42527</v>
      </c>
      <c r="C143" s="23">
        <v>42528</v>
      </c>
      <c r="D143" s="23">
        <v>42529</v>
      </c>
      <c r="E143" s="23">
        <v>42530</v>
      </c>
      <c r="F143" s="23">
        <v>42531</v>
      </c>
      <c r="G143" s="23">
        <v>42532</v>
      </c>
      <c r="H143" s="23">
        <v>42533</v>
      </c>
      <c r="I143" s="18"/>
      <c r="J143" s="18"/>
      <c r="K143" s="39"/>
      <c r="L143" s="27"/>
    </row>
    <row r="144" spans="1:12" x14ac:dyDescent="0.2">
      <c r="A144" t="s">
        <v>14</v>
      </c>
      <c r="B144" s="50"/>
      <c r="C144" s="51"/>
      <c r="D144" s="51"/>
      <c r="E144" s="51"/>
      <c r="F144" s="51"/>
      <c r="G144" s="51"/>
      <c r="H144" s="51"/>
      <c r="I144" s="8">
        <f>SUM(B144:H144)</f>
        <v>0</v>
      </c>
      <c r="J144" s="8">
        <v>86.301369863013704</v>
      </c>
      <c r="K144" s="41">
        <f>I144-J144</f>
        <v>-86.301369863013704</v>
      </c>
      <c r="L144" s="16"/>
    </row>
    <row r="145" spans="1:12" x14ac:dyDescent="0.2">
      <c r="A145" t="s">
        <v>15</v>
      </c>
      <c r="B145" s="50"/>
      <c r="C145" s="51"/>
      <c r="D145" s="51"/>
      <c r="E145" s="51"/>
      <c r="F145" s="51"/>
      <c r="G145" s="51"/>
      <c r="H145" s="51"/>
      <c r="I145" s="8">
        <f>SUM(B145:H145)</f>
        <v>0</v>
      </c>
      <c r="J145" s="8">
        <v>115.06849315068494</v>
      </c>
      <c r="K145" s="41">
        <f>I145-J145</f>
        <v>-115.06849315068494</v>
      </c>
      <c r="L145" s="17">
        <f>K144+K145+K139+K140</f>
        <v>-345.20547945205482</v>
      </c>
    </row>
    <row r="146" spans="1:12" x14ac:dyDescent="0.2">
      <c r="A146" t="s">
        <v>17</v>
      </c>
      <c r="B146" s="57"/>
      <c r="C146" s="52"/>
      <c r="D146" s="52"/>
      <c r="E146" s="52"/>
      <c r="F146" s="52"/>
      <c r="G146" s="52"/>
      <c r="H146" s="52"/>
      <c r="I146" s="8">
        <f>SUM(B146:H146)</f>
        <v>0</v>
      </c>
      <c r="J146" s="8"/>
      <c r="K146" s="41"/>
      <c r="L146" s="17"/>
    </row>
    <row r="147" spans="1:12" x14ac:dyDescent="0.2">
      <c r="A147" t="s">
        <v>2</v>
      </c>
      <c r="B147" s="50"/>
      <c r="C147" s="51"/>
      <c r="D147" s="51"/>
      <c r="E147" s="51"/>
      <c r="F147" s="51"/>
      <c r="G147" s="51"/>
      <c r="H147" s="51"/>
      <c r="I147" s="8">
        <f>SUM(B147:H147)</f>
        <v>0</v>
      </c>
      <c r="J147" s="8"/>
      <c r="K147" s="41"/>
      <c r="L147" s="16"/>
    </row>
    <row r="148" spans="1:12" s="2" customFormat="1" x14ac:dyDescent="0.2">
      <c r="B148" s="22">
        <v>42534</v>
      </c>
      <c r="C148" s="23">
        <v>42535</v>
      </c>
      <c r="D148" s="23">
        <v>42536</v>
      </c>
      <c r="E148" s="23">
        <v>42537</v>
      </c>
      <c r="F148" s="23">
        <v>42538</v>
      </c>
      <c r="G148" s="23">
        <v>42539</v>
      </c>
      <c r="H148" s="23">
        <v>42540</v>
      </c>
      <c r="I148" s="18"/>
      <c r="J148" s="18"/>
      <c r="K148" s="39"/>
      <c r="L148" s="27"/>
    </row>
    <row r="149" spans="1:12" x14ac:dyDescent="0.2">
      <c r="A149" t="s">
        <v>14</v>
      </c>
      <c r="B149" s="50"/>
      <c r="C149" s="51"/>
      <c r="D149" s="51"/>
      <c r="E149" s="51"/>
      <c r="F149" s="51"/>
      <c r="G149" s="51"/>
      <c r="H149" s="51"/>
      <c r="I149" s="8">
        <f>SUM(B149:H149)</f>
        <v>0</v>
      </c>
      <c r="J149" s="8">
        <v>86.301369863013704</v>
      </c>
      <c r="K149" s="41">
        <f>I149-J149</f>
        <v>-86.301369863013704</v>
      </c>
      <c r="L149" s="16"/>
    </row>
    <row r="150" spans="1:12" x14ac:dyDescent="0.2">
      <c r="A150" t="s">
        <v>15</v>
      </c>
      <c r="B150" s="50"/>
      <c r="C150" s="51"/>
      <c r="D150" s="51"/>
      <c r="E150" s="51"/>
      <c r="F150" s="51"/>
      <c r="G150" s="51"/>
      <c r="H150" s="51"/>
      <c r="I150" s="8">
        <f>SUM(B150:H150)</f>
        <v>0</v>
      </c>
      <c r="J150" s="8">
        <v>115.06849315068494</v>
      </c>
      <c r="K150" s="41">
        <f>I150-J150</f>
        <v>-115.06849315068494</v>
      </c>
      <c r="L150" s="17">
        <f>K149+K150+L145</f>
        <v>-546.57534246575347</v>
      </c>
    </row>
    <row r="151" spans="1:12" x14ac:dyDescent="0.2">
      <c r="A151" t="s">
        <v>17</v>
      </c>
      <c r="B151" s="57"/>
      <c r="C151" s="52"/>
      <c r="D151" s="52"/>
      <c r="E151" s="52"/>
      <c r="F151" s="52"/>
      <c r="G151" s="52"/>
      <c r="H151" s="52"/>
      <c r="I151" s="8">
        <f>SUM(B151:H151)</f>
        <v>0</v>
      </c>
      <c r="J151" s="8"/>
      <c r="K151" s="41"/>
      <c r="L151" s="17"/>
    </row>
    <row r="152" spans="1:12" x14ac:dyDescent="0.2">
      <c r="A152" t="s">
        <v>2</v>
      </c>
      <c r="B152" s="50"/>
      <c r="C152" s="51"/>
      <c r="D152" s="51"/>
      <c r="E152" s="51"/>
      <c r="F152" s="51"/>
      <c r="G152" s="51"/>
      <c r="H152" s="51"/>
      <c r="I152" s="8">
        <f>SUM(B152:H152)</f>
        <v>0</v>
      </c>
      <c r="J152" s="8"/>
      <c r="K152" s="41"/>
      <c r="L152" s="16"/>
    </row>
    <row r="153" spans="1:12" s="2" customFormat="1" x14ac:dyDescent="0.2">
      <c r="B153" s="22">
        <v>42541</v>
      </c>
      <c r="C153" s="23">
        <v>42542</v>
      </c>
      <c r="D153" s="23">
        <v>42543</v>
      </c>
      <c r="E153" s="23">
        <v>42544</v>
      </c>
      <c r="F153" s="23">
        <v>42545</v>
      </c>
      <c r="G153" s="23">
        <v>42546</v>
      </c>
      <c r="H153" s="23">
        <v>42547</v>
      </c>
      <c r="I153" s="18"/>
      <c r="J153" s="18"/>
      <c r="K153" s="39"/>
      <c r="L153" s="27"/>
    </row>
    <row r="154" spans="1:12" x14ac:dyDescent="0.2">
      <c r="A154" t="s">
        <v>14</v>
      </c>
      <c r="B154" s="50"/>
      <c r="C154" s="51"/>
      <c r="D154" s="51"/>
      <c r="E154" s="51"/>
      <c r="F154" s="51"/>
      <c r="G154" s="51"/>
      <c r="H154" s="51"/>
      <c r="I154" s="8">
        <f>SUM(B154:H154)</f>
        <v>0</v>
      </c>
      <c r="J154" s="8">
        <v>86.301369863013704</v>
      </c>
      <c r="K154" s="41">
        <f>I154-J154</f>
        <v>-86.301369863013704</v>
      </c>
      <c r="L154" s="16"/>
    </row>
    <row r="155" spans="1:12" x14ac:dyDescent="0.2">
      <c r="A155" t="s">
        <v>15</v>
      </c>
      <c r="B155" s="50"/>
      <c r="C155" s="51"/>
      <c r="D155" s="51"/>
      <c r="E155" s="51"/>
      <c r="F155" s="51"/>
      <c r="G155" s="51"/>
      <c r="H155" s="51"/>
      <c r="I155" s="8">
        <f>SUM(B155:H155)</f>
        <v>0</v>
      </c>
      <c r="J155" s="8">
        <v>115.06849315068494</v>
      </c>
      <c r="K155" s="41">
        <f>I155-J155</f>
        <v>-115.06849315068494</v>
      </c>
      <c r="L155" s="17">
        <f>K154+K155+L150</f>
        <v>-747.94520547945217</v>
      </c>
    </row>
    <row r="156" spans="1:12" x14ac:dyDescent="0.2">
      <c r="A156" t="s">
        <v>17</v>
      </c>
      <c r="B156" s="57"/>
      <c r="C156" s="52"/>
      <c r="D156" s="52"/>
      <c r="E156" s="52"/>
      <c r="F156" s="52"/>
      <c r="G156" s="52"/>
      <c r="H156" s="52"/>
      <c r="I156" s="8">
        <f>SUM(B156:H156)</f>
        <v>0</v>
      </c>
      <c r="J156" s="8"/>
      <c r="K156" s="41"/>
      <c r="L156" s="17"/>
    </row>
    <row r="157" spans="1:12" x14ac:dyDescent="0.2">
      <c r="A157" t="s">
        <v>2</v>
      </c>
      <c r="B157" s="50"/>
      <c r="C157" s="51"/>
      <c r="D157" s="51"/>
      <c r="E157" s="51"/>
      <c r="F157" s="51"/>
      <c r="G157" s="51"/>
      <c r="H157" s="51"/>
      <c r="I157" s="8">
        <f>SUM(B157:H157)</f>
        <v>0</v>
      </c>
      <c r="J157" s="8"/>
      <c r="K157" s="41"/>
      <c r="L157" s="16"/>
    </row>
    <row r="158" spans="1:12" x14ac:dyDescent="0.2">
      <c r="A158" s="2"/>
      <c r="B158" s="22">
        <v>42548</v>
      </c>
      <c r="C158" s="23">
        <v>42549</v>
      </c>
      <c r="D158" s="23">
        <v>42550</v>
      </c>
      <c r="E158" s="23">
        <v>42551</v>
      </c>
      <c r="F158" s="10"/>
      <c r="G158" s="28"/>
      <c r="H158" s="28"/>
      <c r="I158" s="18"/>
      <c r="J158" s="18"/>
      <c r="K158" s="39"/>
      <c r="L158" s="27"/>
    </row>
    <row r="159" spans="1:12" s="2" customFormat="1" x14ac:dyDescent="0.2">
      <c r="A159" t="s">
        <v>14</v>
      </c>
      <c r="B159" s="50"/>
      <c r="C159" s="51"/>
      <c r="D159" s="51"/>
      <c r="E159" s="51"/>
      <c r="F159" s="51"/>
      <c r="G159" s="51"/>
      <c r="H159" s="51"/>
      <c r="I159" s="8">
        <f>SUM(B159:H159)</f>
        <v>0</v>
      </c>
      <c r="J159" s="8">
        <v>49.315068493150683</v>
      </c>
      <c r="K159" s="41">
        <f>I159-J159</f>
        <v>-49.315068493150683</v>
      </c>
      <c r="L159" s="16"/>
    </row>
    <row r="160" spans="1:12" x14ac:dyDescent="0.2">
      <c r="A160" t="s">
        <v>15</v>
      </c>
      <c r="B160" s="50"/>
      <c r="C160" s="51"/>
      <c r="D160" s="51"/>
      <c r="E160" s="51"/>
      <c r="F160" s="51"/>
      <c r="G160" s="51"/>
      <c r="H160" s="51"/>
      <c r="I160" s="8">
        <f>SUM(B160:H160)</f>
        <v>0</v>
      </c>
      <c r="J160" s="8">
        <v>65.753424657534254</v>
      </c>
      <c r="K160" s="41">
        <f>I160-J160</f>
        <v>-65.753424657534254</v>
      </c>
      <c r="L160" s="17">
        <f>K159+K160+L155+K162</f>
        <v>-973.01369863013713</v>
      </c>
    </row>
    <row r="161" spans="1:12" x14ac:dyDescent="0.2">
      <c r="A161" t="s">
        <v>17</v>
      </c>
      <c r="B161" s="57"/>
      <c r="C161" s="52"/>
      <c r="D161" s="52"/>
      <c r="E161" s="52"/>
      <c r="F161" s="52"/>
      <c r="G161" s="52"/>
      <c r="H161" s="59"/>
      <c r="I161" s="30">
        <f>SUM(I141,I146,I151,I156,B161:H161)</f>
        <v>0</v>
      </c>
      <c r="J161" s="30"/>
      <c r="K161" s="42">
        <f>I161-J161</f>
        <v>0</v>
      </c>
      <c r="L161" s="38" t="s">
        <v>17</v>
      </c>
    </row>
    <row r="162" spans="1:12" x14ac:dyDescent="0.2">
      <c r="A162" t="s">
        <v>2</v>
      </c>
      <c r="B162" s="50"/>
      <c r="C162" s="51"/>
      <c r="D162" s="51"/>
      <c r="E162" s="51"/>
      <c r="F162" s="51"/>
      <c r="G162" s="51"/>
      <c r="H162" s="51"/>
      <c r="I162" s="34">
        <f>SUM(I142,I147,I152,I157,B162:H162)</f>
        <v>0</v>
      </c>
      <c r="J162" s="30">
        <v>110</v>
      </c>
      <c r="K162" s="42">
        <f>I162-J162</f>
        <v>-110</v>
      </c>
      <c r="L162" s="35" t="s">
        <v>2</v>
      </c>
    </row>
    <row r="163" spans="1:12" x14ac:dyDescent="0.2">
      <c r="B163" s="9"/>
      <c r="C163" s="10"/>
      <c r="D163" s="10"/>
      <c r="E163" s="10"/>
      <c r="F163" s="10"/>
      <c r="G163" s="10"/>
      <c r="H163" s="29" t="s">
        <v>3</v>
      </c>
      <c r="I163" s="30">
        <f>SUM(I139:I160)</f>
        <v>0</v>
      </c>
      <c r="J163" s="30">
        <v>973.01369863013701</v>
      </c>
      <c r="K163" s="45">
        <f>SUM(K139:K162)</f>
        <v>-973.01369863013701</v>
      </c>
      <c r="L163" s="56">
        <f ca="1">IF($N$1&gt;E158,(-K163)/(DAYS360(D138,E158)-1),(IF(D138&lt;$N$1,(K163/(DAYS360($N$1,E158)+1)),(K163/(DAYS360(D138,E158)+1)))*-1))</f>
        <v>34.750489236790607</v>
      </c>
    </row>
    <row r="164" spans="1:12" s="2" customFormat="1" x14ac:dyDescent="0.2">
      <c r="B164" s="24"/>
      <c r="C164" s="25"/>
      <c r="D164" s="25"/>
      <c r="E164" s="25"/>
      <c r="F164" s="21">
        <v>42552</v>
      </c>
      <c r="G164" s="21">
        <v>42553</v>
      </c>
      <c r="H164" s="21">
        <v>42554</v>
      </c>
      <c r="I164" s="26"/>
      <c r="J164" s="26"/>
      <c r="K164" s="44"/>
      <c r="L164" s="27"/>
    </row>
    <row r="165" spans="1:12" x14ac:dyDescent="0.2">
      <c r="A165" t="s">
        <v>14</v>
      </c>
      <c r="B165" s="50"/>
      <c r="C165" s="51"/>
      <c r="D165" s="51"/>
      <c r="E165" s="51"/>
      <c r="F165" s="51"/>
      <c r="G165" s="51"/>
      <c r="H165" s="51"/>
      <c r="I165" s="8">
        <f>SUM(B165:H165)</f>
        <v>0</v>
      </c>
      <c r="J165" s="8">
        <v>36.986301369863014</v>
      </c>
      <c r="K165" s="41">
        <f>I165-J165</f>
        <v>-36.986301369863014</v>
      </c>
      <c r="L165" s="16"/>
    </row>
    <row r="166" spans="1:12" x14ac:dyDescent="0.2">
      <c r="A166" t="s">
        <v>15</v>
      </c>
      <c r="B166" s="50"/>
      <c r="C166" s="51"/>
      <c r="D166" s="51"/>
      <c r="E166" s="51"/>
      <c r="F166" s="51"/>
      <c r="G166" s="51"/>
      <c r="H166" s="51"/>
      <c r="I166" s="8">
        <f>SUM(B166:H166)</f>
        <v>0</v>
      </c>
      <c r="J166" s="8">
        <v>49.31506849315069</v>
      </c>
      <c r="K166" s="41">
        <f>I166-J166</f>
        <v>-49.31506849315069</v>
      </c>
      <c r="L166" s="17"/>
    </row>
    <row r="167" spans="1:12" x14ac:dyDescent="0.2">
      <c r="A167" t="s">
        <v>17</v>
      </c>
      <c r="B167" s="57"/>
      <c r="C167" s="52"/>
      <c r="D167" s="52"/>
      <c r="E167" s="52"/>
      <c r="F167" s="52"/>
      <c r="G167" s="52"/>
      <c r="H167" s="52"/>
      <c r="I167" s="8">
        <f>SUM(B167:H167)</f>
        <v>0</v>
      </c>
      <c r="J167" s="8"/>
      <c r="K167" s="41"/>
      <c r="L167" s="17"/>
    </row>
    <row r="168" spans="1:12" x14ac:dyDescent="0.2">
      <c r="A168" t="s">
        <v>2</v>
      </c>
      <c r="B168" s="50"/>
      <c r="C168" s="51"/>
      <c r="D168" s="51"/>
      <c r="E168" s="51"/>
      <c r="F168" s="51"/>
      <c r="G168" s="51"/>
      <c r="H168" s="51"/>
      <c r="I168" s="8">
        <f>SUM(B168:H168)</f>
        <v>0</v>
      </c>
      <c r="J168" s="8"/>
      <c r="K168" s="41"/>
      <c r="L168" s="17"/>
    </row>
    <row r="169" spans="1:12" s="2" customFormat="1" x14ac:dyDescent="0.2">
      <c r="B169" s="22">
        <v>42555</v>
      </c>
      <c r="C169" s="23">
        <v>42556</v>
      </c>
      <c r="D169" s="23">
        <v>42557</v>
      </c>
      <c r="E169" s="23">
        <v>42558</v>
      </c>
      <c r="F169" s="23">
        <v>42559</v>
      </c>
      <c r="G169" s="23">
        <v>42560</v>
      </c>
      <c r="H169" s="23">
        <v>42561</v>
      </c>
      <c r="I169" s="18"/>
      <c r="J169" s="18"/>
      <c r="K169" s="39"/>
      <c r="L169" s="27"/>
    </row>
    <row r="170" spans="1:12" x14ac:dyDescent="0.2">
      <c r="A170" t="s">
        <v>14</v>
      </c>
      <c r="B170" s="50"/>
      <c r="C170" s="51"/>
      <c r="D170" s="51"/>
      <c r="E170" s="51"/>
      <c r="F170" s="51"/>
      <c r="G170" s="51"/>
      <c r="H170" s="51"/>
      <c r="I170" s="8">
        <f>SUM(B170:H170)</f>
        <v>0</v>
      </c>
      <c r="J170" s="8">
        <v>86.301369863013704</v>
      </c>
      <c r="K170" s="41">
        <f>I170-J170</f>
        <v>-86.301369863013704</v>
      </c>
      <c r="L170" s="16"/>
    </row>
    <row r="171" spans="1:12" x14ac:dyDescent="0.2">
      <c r="A171" t="s">
        <v>15</v>
      </c>
      <c r="B171" s="50"/>
      <c r="C171" s="51"/>
      <c r="D171" s="51"/>
      <c r="E171" s="51"/>
      <c r="F171" s="51"/>
      <c r="G171" s="51"/>
      <c r="H171" s="51"/>
      <c r="I171" s="8">
        <f>SUM(B171:H171)</f>
        <v>0</v>
      </c>
      <c r="J171" s="8">
        <v>115.06849315068494</v>
      </c>
      <c r="K171" s="41">
        <f>I171-J171</f>
        <v>-115.06849315068494</v>
      </c>
      <c r="L171" s="17">
        <f>K170+K171+K165+K166</f>
        <v>-287.67123287671234</v>
      </c>
    </row>
    <row r="172" spans="1:12" x14ac:dyDescent="0.2">
      <c r="A172" t="s">
        <v>17</v>
      </c>
      <c r="B172" s="57"/>
      <c r="C172" s="52"/>
      <c r="D172" s="52"/>
      <c r="E172" s="52"/>
      <c r="F172" s="52"/>
      <c r="G172" s="52"/>
      <c r="H172" s="52"/>
      <c r="I172" s="8">
        <f>SUM(B172:H172)</f>
        <v>0</v>
      </c>
      <c r="J172" s="8"/>
      <c r="K172" s="41"/>
      <c r="L172" s="17"/>
    </row>
    <row r="173" spans="1:12" x14ac:dyDescent="0.2">
      <c r="A173" t="s">
        <v>2</v>
      </c>
      <c r="B173" s="50"/>
      <c r="C173" s="51"/>
      <c r="D173" s="51"/>
      <c r="E173" s="51"/>
      <c r="F173" s="51"/>
      <c r="G173" s="51"/>
      <c r="H173" s="51"/>
      <c r="I173" s="8">
        <f>SUM(B173:H173)</f>
        <v>0</v>
      </c>
      <c r="J173" s="8"/>
      <c r="K173" s="41"/>
      <c r="L173" s="16"/>
    </row>
    <row r="174" spans="1:12" s="2" customFormat="1" x14ac:dyDescent="0.2">
      <c r="B174" s="22">
        <v>42562</v>
      </c>
      <c r="C174" s="23">
        <v>42563</v>
      </c>
      <c r="D174" s="23">
        <v>42564</v>
      </c>
      <c r="E174" s="23">
        <v>42565</v>
      </c>
      <c r="F174" s="23">
        <v>42566</v>
      </c>
      <c r="G174" s="23">
        <v>42567</v>
      </c>
      <c r="H174" s="23">
        <v>42568</v>
      </c>
      <c r="I174" s="18"/>
      <c r="J174" s="18"/>
      <c r="K174" s="39"/>
      <c r="L174" s="27"/>
    </row>
    <row r="175" spans="1:12" x14ac:dyDescent="0.2">
      <c r="A175" t="s">
        <v>14</v>
      </c>
      <c r="B175" s="50"/>
      <c r="C175" s="51"/>
      <c r="D175" s="51"/>
      <c r="E175" s="51"/>
      <c r="F175" s="51"/>
      <c r="G175" s="51"/>
      <c r="H175" s="51"/>
      <c r="I175" s="8">
        <f>SUM(B175:H175)</f>
        <v>0</v>
      </c>
      <c r="J175" s="8">
        <v>86.301369863013704</v>
      </c>
      <c r="K175" s="41">
        <f>I175-J175</f>
        <v>-86.301369863013704</v>
      </c>
      <c r="L175" s="16"/>
    </row>
    <row r="176" spans="1:12" x14ac:dyDescent="0.2">
      <c r="A176" t="s">
        <v>15</v>
      </c>
      <c r="B176" s="50"/>
      <c r="C176" s="51"/>
      <c r="D176" s="51"/>
      <c r="E176" s="51"/>
      <c r="F176" s="51"/>
      <c r="G176" s="51"/>
      <c r="H176" s="51"/>
      <c r="I176" s="8">
        <f>SUM(B176:H176)</f>
        <v>0</v>
      </c>
      <c r="J176" s="8">
        <v>115.06849315068494</v>
      </c>
      <c r="K176" s="41">
        <f>I176-J176</f>
        <v>-115.06849315068494</v>
      </c>
      <c r="L176" s="17">
        <f>K175+K176+L171</f>
        <v>-489.04109589041099</v>
      </c>
    </row>
    <row r="177" spans="1:12" x14ac:dyDescent="0.2">
      <c r="A177" t="s">
        <v>17</v>
      </c>
      <c r="B177" s="57"/>
      <c r="C177" s="52"/>
      <c r="D177" s="52"/>
      <c r="E177" s="52"/>
      <c r="F177" s="52"/>
      <c r="G177" s="52"/>
      <c r="H177" s="52"/>
      <c r="I177" s="8">
        <f>SUM(B177:H177)</f>
        <v>0</v>
      </c>
      <c r="J177" s="8"/>
      <c r="K177" s="41"/>
      <c r="L177" s="17"/>
    </row>
    <row r="178" spans="1:12" x14ac:dyDescent="0.2">
      <c r="A178" t="s">
        <v>2</v>
      </c>
      <c r="B178" s="50"/>
      <c r="C178" s="51"/>
      <c r="D178" s="51"/>
      <c r="E178" s="51"/>
      <c r="F178" s="51"/>
      <c r="G178" s="51"/>
      <c r="H178" s="51"/>
      <c r="I178" s="8">
        <f>SUM(B178:H178)</f>
        <v>0</v>
      </c>
      <c r="J178" s="8"/>
      <c r="K178" s="41"/>
      <c r="L178" s="16"/>
    </row>
    <row r="179" spans="1:12" s="2" customFormat="1" x14ac:dyDescent="0.2">
      <c r="B179" s="22">
        <v>42569</v>
      </c>
      <c r="C179" s="23">
        <v>42570</v>
      </c>
      <c r="D179" s="23">
        <v>42571</v>
      </c>
      <c r="E179" s="23">
        <v>42572</v>
      </c>
      <c r="F179" s="23">
        <v>42573</v>
      </c>
      <c r="G179" s="23">
        <v>42574</v>
      </c>
      <c r="H179" s="23">
        <v>42575</v>
      </c>
      <c r="I179" s="18"/>
      <c r="J179" s="18"/>
      <c r="K179" s="39"/>
      <c r="L179" s="27"/>
    </row>
    <row r="180" spans="1:12" x14ac:dyDescent="0.2">
      <c r="A180" t="s">
        <v>14</v>
      </c>
      <c r="B180" s="50"/>
      <c r="C180" s="51"/>
      <c r="D180" s="51"/>
      <c r="E180" s="51"/>
      <c r="F180" s="51"/>
      <c r="G180" s="51"/>
      <c r="H180" s="51"/>
      <c r="I180" s="8">
        <f>SUM(B180:H180)</f>
        <v>0</v>
      </c>
      <c r="J180" s="8">
        <v>86.301369863013704</v>
      </c>
      <c r="K180" s="41">
        <f>I180-J180</f>
        <v>-86.301369863013704</v>
      </c>
      <c r="L180" s="16"/>
    </row>
    <row r="181" spans="1:12" x14ac:dyDescent="0.2">
      <c r="A181" t="s">
        <v>15</v>
      </c>
      <c r="B181" s="50"/>
      <c r="C181" s="51"/>
      <c r="D181" s="51"/>
      <c r="E181" s="51"/>
      <c r="F181" s="51"/>
      <c r="G181" s="51"/>
      <c r="H181" s="51"/>
      <c r="I181" s="8">
        <f>SUM(B181:H181)</f>
        <v>0</v>
      </c>
      <c r="J181" s="8">
        <v>115.06849315068494</v>
      </c>
      <c r="K181" s="41">
        <f>I181-J181</f>
        <v>-115.06849315068494</v>
      </c>
      <c r="L181" s="17">
        <f>K180+K181+L176</f>
        <v>-690.41095890410963</v>
      </c>
    </row>
    <row r="182" spans="1:12" x14ac:dyDescent="0.2">
      <c r="A182" t="s">
        <v>17</v>
      </c>
      <c r="B182" s="57"/>
      <c r="C182" s="52"/>
      <c r="D182" s="52"/>
      <c r="E182" s="52"/>
      <c r="F182" s="52"/>
      <c r="G182" s="52"/>
      <c r="H182" s="52"/>
      <c r="I182" s="8">
        <f>SUM(B182:H182)</f>
        <v>0</v>
      </c>
      <c r="J182" s="8"/>
      <c r="K182" s="41"/>
      <c r="L182" s="17"/>
    </row>
    <row r="183" spans="1:12" x14ac:dyDescent="0.2">
      <c r="A183" t="s">
        <v>2</v>
      </c>
      <c r="B183" s="50"/>
      <c r="C183" s="51"/>
      <c r="D183" s="51"/>
      <c r="E183" s="51"/>
      <c r="F183" s="51"/>
      <c r="G183" s="51"/>
      <c r="H183" s="51"/>
      <c r="I183" s="8">
        <f>SUM(B183:H183)</f>
        <v>0</v>
      </c>
      <c r="J183" s="8"/>
      <c r="K183" s="41"/>
      <c r="L183" s="16"/>
    </row>
    <row r="184" spans="1:12" s="2" customFormat="1" x14ac:dyDescent="0.2">
      <c r="B184" s="22">
        <v>42576</v>
      </c>
      <c r="C184" s="23">
        <v>42577</v>
      </c>
      <c r="D184" s="23">
        <v>42578</v>
      </c>
      <c r="E184" s="23">
        <v>42579</v>
      </c>
      <c r="F184" s="23">
        <v>42580</v>
      </c>
      <c r="G184" s="23">
        <v>42581</v>
      </c>
      <c r="H184" s="23">
        <v>42582</v>
      </c>
      <c r="I184" s="18"/>
      <c r="J184" s="18"/>
      <c r="K184" s="39"/>
      <c r="L184" s="27"/>
    </row>
    <row r="185" spans="1:12" x14ac:dyDescent="0.2">
      <c r="A185" t="s">
        <v>14</v>
      </c>
      <c r="B185" s="50"/>
      <c r="C185" s="51"/>
      <c r="D185" s="51"/>
      <c r="E185" s="51"/>
      <c r="F185" s="51"/>
      <c r="G185" s="51"/>
      <c r="H185" s="51"/>
      <c r="I185" s="8">
        <f>SUM(B185:H185)</f>
        <v>0</v>
      </c>
      <c r="J185" s="8">
        <v>86.301369863013704</v>
      </c>
      <c r="K185" s="41">
        <f>I185-J185</f>
        <v>-86.301369863013704</v>
      </c>
      <c r="L185" s="16"/>
    </row>
    <row r="186" spans="1:12" x14ac:dyDescent="0.2">
      <c r="A186" t="s">
        <v>15</v>
      </c>
      <c r="B186" s="50"/>
      <c r="C186" s="51"/>
      <c r="D186" s="51"/>
      <c r="E186" s="51"/>
      <c r="F186" s="51"/>
      <c r="G186" s="51"/>
      <c r="H186" s="51"/>
      <c r="I186" s="8">
        <f>SUM(B186:H186)</f>
        <v>0</v>
      </c>
      <c r="J186" s="8">
        <v>115.06849315068494</v>
      </c>
      <c r="K186" s="41">
        <f>I186-J186</f>
        <v>-115.06849315068494</v>
      </c>
      <c r="L186" s="17">
        <f>K185+K186+L181</f>
        <v>-891.78082191780823</v>
      </c>
    </row>
    <row r="187" spans="1:12" x14ac:dyDescent="0.2">
      <c r="A187" t="s">
        <v>17</v>
      </c>
      <c r="B187" s="57"/>
      <c r="C187" s="52"/>
      <c r="D187" s="52"/>
      <c r="E187" s="52"/>
      <c r="F187" s="52"/>
      <c r="G187" s="52"/>
      <c r="H187" s="52"/>
      <c r="I187" s="8">
        <f>SUM(B187:H187)</f>
        <v>0</v>
      </c>
      <c r="J187" s="8"/>
      <c r="K187" s="41"/>
      <c r="L187" s="17"/>
    </row>
    <row r="188" spans="1:12" x14ac:dyDescent="0.2">
      <c r="A188" t="s">
        <v>2</v>
      </c>
      <c r="B188" s="50"/>
      <c r="C188" s="51"/>
      <c r="D188" s="51"/>
      <c r="E188" s="51"/>
      <c r="F188" s="51"/>
      <c r="G188" s="51"/>
      <c r="H188" s="51"/>
      <c r="I188" s="8">
        <f>SUM(B188:H188)</f>
        <v>0</v>
      </c>
      <c r="J188" s="8"/>
      <c r="K188" s="41"/>
      <c r="L188" s="16"/>
    </row>
    <row r="189" spans="1:12" x14ac:dyDescent="0.2">
      <c r="A189" s="2"/>
      <c r="B189" s="9"/>
      <c r="C189" s="28"/>
      <c r="D189" s="28"/>
      <c r="E189" s="28"/>
      <c r="F189" s="28"/>
      <c r="G189" s="28"/>
      <c r="H189" s="28"/>
      <c r="I189" s="18"/>
      <c r="J189" s="18"/>
      <c r="K189" s="39"/>
      <c r="L189" s="27"/>
    </row>
    <row r="190" spans="1:12" s="2" customFormat="1" x14ac:dyDescent="0.2">
      <c r="A190" t="s">
        <v>14</v>
      </c>
      <c r="B190" s="50"/>
      <c r="C190" s="51"/>
      <c r="D190" s="51"/>
      <c r="E190" s="51"/>
      <c r="F190" s="51"/>
      <c r="G190" s="51"/>
      <c r="H190" s="51"/>
      <c r="I190" s="8">
        <f>SUM(B190:H190)</f>
        <v>0</v>
      </c>
      <c r="J190" s="8">
        <v>0</v>
      </c>
      <c r="K190" s="41">
        <f>I190-J190</f>
        <v>0</v>
      </c>
      <c r="L190" s="16"/>
    </row>
    <row r="191" spans="1:12" x14ac:dyDescent="0.2">
      <c r="A191" t="s">
        <v>15</v>
      </c>
      <c r="B191" s="50"/>
      <c r="C191" s="51"/>
      <c r="D191" s="51"/>
      <c r="E191" s="51"/>
      <c r="F191" s="51"/>
      <c r="G191" s="51"/>
      <c r="H191" s="51"/>
      <c r="I191" s="8">
        <f>SUM(B191:H191)</f>
        <v>0</v>
      </c>
      <c r="J191" s="8">
        <v>0</v>
      </c>
      <c r="K191" s="41">
        <f>I191-J191</f>
        <v>0</v>
      </c>
      <c r="L191" s="17">
        <f>K190+K191+L186+K193</f>
        <v>-1001.7808219178082</v>
      </c>
    </row>
    <row r="192" spans="1:12" x14ac:dyDescent="0.2">
      <c r="A192" t="s">
        <v>17</v>
      </c>
      <c r="B192" s="57"/>
      <c r="C192" s="52"/>
      <c r="D192" s="52"/>
      <c r="E192" s="52"/>
      <c r="F192" s="52"/>
      <c r="G192" s="52"/>
      <c r="H192" s="52"/>
      <c r="I192" s="34">
        <f>SUM(I168,I172,I177,I182,I187,B192:H192)</f>
        <v>0</v>
      </c>
      <c r="J192" s="30"/>
      <c r="K192" s="42">
        <f>I192-J192</f>
        <v>0</v>
      </c>
      <c r="L192" s="38" t="s">
        <v>17</v>
      </c>
    </row>
    <row r="193" spans="1:12" x14ac:dyDescent="0.2">
      <c r="A193" t="s">
        <v>2</v>
      </c>
      <c r="B193" s="50"/>
      <c r="C193" s="51"/>
      <c r="D193" s="51"/>
      <c r="E193" s="51"/>
      <c r="F193" s="51"/>
      <c r="G193" s="51"/>
      <c r="H193" s="51"/>
      <c r="I193" s="34">
        <f>SUM(I168,I173,I178,I183,I188,B193:H193)</f>
        <v>0</v>
      </c>
      <c r="J193" s="30">
        <v>110</v>
      </c>
      <c r="K193" s="42">
        <f>I193-J193</f>
        <v>-110</v>
      </c>
      <c r="L193" s="35" t="s">
        <v>2</v>
      </c>
    </row>
    <row r="194" spans="1:12" x14ac:dyDescent="0.2">
      <c r="B194" s="11"/>
      <c r="C194" s="5"/>
      <c r="D194" s="5"/>
      <c r="E194" s="5"/>
      <c r="F194" s="5"/>
      <c r="G194" s="5"/>
      <c r="H194" s="36" t="s">
        <v>3</v>
      </c>
      <c r="I194" s="30">
        <f>SUM(I164:I191)</f>
        <v>0</v>
      </c>
      <c r="J194" s="30">
        <v>1001.7808219178083</v>
      </c>
      <c r="K194" s="45">
        <f>SUM(K164:K193)</f>
        <v>-1001.7808219178083</v>
      </c>
      <c r="L194" s="56">
        <f ca="1">IF($N$1&gt;H184,(-K194)/(DAYS360(F164,H184)-1),(IF(F164&lt;$N$1,(K194/(DAYS360($N$1,H184)+1)),(K194/(DAYS360(F164,H184)+1)))*-1))</f>
        <v>34.544166273027876</v>
      </c>
    </row>
    <row r="195" spans="1:12" s="2" customFormat="1" x14ac:dyDescent="0.2">
      <c r="B195" s="21">
        <v>42583</v>
      </c>
      <c r="C195" s="21">
        <v>42584</v>
      </c>
      <c r="D195" s="21">
        <v>42585</v>
      </c>
      <c r="E195" s="21">
        <v>42586</v>
      </c>
      <c r="F195" s="21">
        <v>42587</v>
      </c>
      <c r="G195" s="21">
        <v>42588</v>
      </c>
      <c r="H195" s="22">
        <v>42589</v>
      </c>
      <c r="I195" s="26"/>
      <c r="J195" s="26"/>
      <c r="K195" s="44"/>
      <c r="L195" s="27"/>
    </row>
    <row r="196" spans="1:12" x14ac:dyDescent="0.2">
      <c r="A196" t="s">
        <v>14</v>
      </c>
      <c r="B196" s="50"/>
      <c r="C196" s="51"/>
      <c r="D196" s="51"/>
      <c r="E196" s="51"/>
      <c r="F196" s="51"/>
      <c r="G196" s="51"/>
      <c r="H196" s="51"/>
      <c r="I196" s="8">
        <f>SUM(B196:H196)</f>
        <v>0</v>
      </c>
      <c r="J196" s="8">
        <v>86.301369863013704</v>
      </c>
      <c r="K196" s="41">
        <f>I196-J196</f>
        <v>-86.301369863013704</v>
      </c>
      <c r="L196" s="16"/>
    </row>
    <row r="197" spans="1:12" x14ac:dyDescent="0.2">
      <c r="A197" t="s">
        <v>15</v>
      </c>
      <c r="B197" s="50"/>
      <c r="C197" s="51"/>
      <c r="D197" s="51"/>
      <c r="E197" s="51"/>
      <c r="F197" s="51"/>
      <c r="G197" s="51"/>
      <c r="H197" s="51"/>
      <c r="I197" s="8">
        <f>SUM(B197:H197)</f>
        <v>0</v>
      </c>
      <c r="J197" s="8">
        <v>115.06849315068494</v>
      </c>
      <c r="K197" s="41">
        <f>I197-J197</f>
        <v>-115.06849315068494</v>
      </c>
      <c r="L197" s="17"/>
    </row>
    <row r="198" spans="1:12" x14ac:dyDescent="0.2">
      <c r="A198" t="s">
        <v>17</v>
      </c>
      <c r="B198" s="57"/>
      <c r="C198" s="52"/>
      <c r="D198" s="52"/>
      <c r="E198" s="52"/>
      <c r="F198" s="52"/>
      <c r="G198" s="52"/>
      <c r="H198" s="52"/>
      <c r="I198" s="8">
        <f>SUM(B198:H198)</f>
        <v>0</v>
      </c>
      <c r="J198" s="8"/>
      <c r="K198" s="41"/>
      <c r="L198" s="17"/>
    </row>
    <row r="199" spans="1:12" x14ac:dyDescent="0.2">
      <c r="A199" t="s">
        <v>2</v>
      </c>
      <c r="B199" s="50"/>
      <c r="C199" s="51"/>
      <c r="D199" s="51"/>
      <c r="E199" s="51"/>
      <c r="F199" s="51"/>
      <c r="G199" s="51"/>
      <c r="H199" s="51"/>
      <c r="I199" s="8">
        <f>SUM(B199:H199)</f>
        <v>0</v>
      </c>
      <c r="J199" s="8"/>
      <c r="K199" s="41"/>
      <c r="L199" s="16"/>
    </row>
    <row r="200" spans="1:12" s="2" customFormat="1" x14ac:dyDescent="0.2">
      <c r="B200" s="23">
        <v>42590</v>
      </c>
      <c r="C200" s="23">
        <v>42591</v>
      </c>
      <c r="D200" s="23">
        <v>42592</v>
      </c>
      <c r="E200" s="23">
        <v>42593</v>
      </c>
      <c r="F200" s="23">
        <v>42594</v>
      </c>
      <c r="G200" s="23">
        <v>42595</v>
      </c>
      <c r="H200" s="22">
        <v>42596</v>
      </c>
      <c r="I200" s="18"/>
      <c r="J200" s="18"/>
      <c r="K200" s="39"/>
      <c r="L200" s="27"/>
    </row>
    <row r="201" spans="1:12" x14ac:dyDescent="0.2">
      <c r="A201" t="s">
        <v>14</v>
      </c>
      <c r="B201" s="50"/>
      <c r="C201" s="51"/>
      <c r="D201" s="51"/>
      <c r="E201" s="51"/>
      <c r="F201" s="51"/>
      <c r="G201" s="51"/>
      <c r="H201" s="51"/>
      <c r="I201" s="8">
        <f>SUM(B201:H201)</f>
        <v>0</v>
      </c>
      <c r="J201" s="8">
        <v>86.301369863013704</v>
      </c>
      <c r="K201" s="41">
        <f>I201-J201</f>
        <v>-86.301369863013704</v>
      </c>
      <c r="L201" s="16"/>
    </row>
    <row r="202" spans="1:12" x14ac:dyDescent="0.2">
      <c r="A202" t="s">
        <v>15</v>
      </c>
      <c r="B202" s="50"/>
      <c r="C202" s="51"/>
      <c r="D202" s="51"/>
      <c r="E202" s="51"/>
      <c r="F202" s="51"/>
      <c r="G202" s="51"/>
      <c r="H202" s="51"/>
      <c r="I202" s="8">
        <f>SUM(B202:H202)</f>
        <v>0</v>
      </c>
      <c r="J202" s="8">
        <v>115.06849315068494</v>
      </c>
      <c r="K202" s="41">
        <f>I202-J202</f>
        <v>-115.06849315068494</v>
      </c>
      <c r="L202" s="17">
        <f>K201+K202+K196+K197</f>
        <v>-402.7397260273973</v>
      </c>
    </row>
    <row r="203" spans="1:12" x14ac:dyDescent="0.2">
      <c r="A203" t="s">
        <v>17</v>
      </c>
      <c r="B203" s="57"/>
      <c r="C203" s="52"/>
      <c r="D203" s="52"/>
      <c r="E203" s="52"/>
      <c r="F203" s="52"/>
      <c r="G203" s="52"/>
      <c r="H203" s="52"/>
      <c r="I203" s="8">
        <f>SUM(B203:H203)</f>
        <v>0</v>
      </c>
      <c r="J203" s="8"/>
      <c r="K203" s="41"/>
      <c r="L203" s="17"/>
    </row>
    <row r="204" spans="1:12" x14ac:dyDescent="0.2">
      <c r="A204" t="s">
        <v>2</v>
      </c>
      <c r="B204" s="50"/>
      <c r="C204" s="51"/>
      <c r="D204" s="51"/>
      <c r="E204" s="51"/>
      <c r="F204" s="51"/>
      <c r="G204" s="51"/>
      <c r="H204" s="51"/>
      <c r="I204" s="8">
        <f>SUM(B204:H204)</f>
        <v>0</v>
      </c>
      <c r="J204" s="8"/>
      <c r="K204" s="41"/>
      <c r="L204" s="16"/>
    </row>
    <row r="205" spans="1:12" s="2" customFormat="1" x14ac:dyDescent="0.2">
      <c r="B205" s="23">
        <v>42597</v>
      </c>
      <c r="C205" s="23">
        <v>42598</v>
      </c>
      <c r="D205" s="23">
        <v>42599</v>
      </c>
      <c r="E205" s="23">
        <v>42600</v>
      </c>
      <c r="F205" s="23">
        <v>42601</v>
      </c>
      <c r="G205" s="23">
        <v>42602</v>
      </c>
      <c r="H205" s="22">
        <v>42603</v>
      </c>
      <c r="I205" s="18"/>
      <c r="J205" s="18"/>
      <c r="K205" s="39"/>
      <c r="L205" s="27"/>
    </row>
    <row r="206" spans="1:12" x14ac:dyDescent="0.2">
      <c r="A206" t="s">
        <v>14</v>
      </c>
      <c r="B206" s="50"/>
      <c r="C206" s="51"/>
      <c r="D206" s="51"/>
      <c r="E206" s="51"/>
      <c r="F206" s="51"/>
      <c r="G206" s="51"/>
      <c r="H206" s="51"/>
      <c r="I206" s="8">
        <f>SUM(B206:H206)</f>
        <v>0</v>
      </c>
      <c r="J206" s="8">
        <v>86.301369863013704</v>
      </c>
      <c r="K206" s="41">
        <f>I206-J206</f>
        <v>-86.301369863013704</v>
      </c>
      <c r="L206" s="16"/>
    </row>
    <row r="207" spans="1:12" x14ac:dyDescent="0.2">
      <c r="A207" t="s">
        <v>15</v>
      </c>
      <c r="B207" s="50"/>
      <c r="C207" s="51"/>
      <c r="D207" s="51"/>
      <c r="E207" s="51"/>
      <c r="F207" s="51"/>
      <c r="G207" s="51"/>
      <c r="H207" s="51"/>
      <c r="I207" s="8">
        <f>SUM(B207:H207)</f>
        <v>0</v>
      </c>
      <c r="J207" s="8">
        <v>115.06849315068494</v>
      </c>
      <c r="K207" s="41">
        <f>I207-J207</f>
        <v>-115.06849315068494</v>
      </c>
      <c r="L207" s="17">
        <f>K206+K207+L202</f>
        <v>-604.10958904109589</v>
      </c>
    </row>
    <row r="208" spans="1:12" x14ac:dyDescent="0.2">
      <c r="A208" t="s">
        <v>17</v>
      </c>
      <c r="B208" s="57"/>
      <c r="C208" s="52"/>
      <c r="D208" s="52"/>
      <c r="E208" s="52"/>
      <c r="F208" s="52"/>
      <c r="G208" s="52"/>
      <c r="H208" s="52"/>
      <c r="I208" s="8">
        <f>SUM(B208:H208)</f>
        <v>0</v>
      </c>
      <c r="J208" s="8"/>
      <c r="K208" s="41"/>
      <c r="L208" s="17"/>
    </row>
    <row r="209" spans="1:12" x14ac:dyDescent="0.2">
      <c r="A209" t="s">
        <v>2</v>
      </c>
      <c r="B209" s="50"/>
      <c r="C209" s="51"/>
      <c r="D209" s="51"/>
      <c r="E209" s="51"/>
      <c r="F209" s="51"/>
      <c r="G209" s="51"/>
      <c r="H209" s="51"/>
      <c r="I209" s="8">
        <f>SUM(B209:H209)</f>
        <v>0</v>
      </c>
      <c r="J209" s="8"/>
      <c r="K209" s="41"/>
      <c r="L209" s="16"/>
    </row>
    <row r="210" spans="1:12" s="2" customFormat="1" x14ac:dyDescent="0.2">
      <c r="B210" s="23">
        <v>42604</v>
      </c>
      <c r="C210" s="23">
        <v>42605</v>
      </c>
      <c r="D210" s="23">
        <v>42606</v>
      </c>
      <c r="E210" s="23">
        <v>42607</v>
      </c>
      <c r="F210" s="23">
        <v>42608</v>
      </c>
      <c r="G210" s="23">
        <v>42609</v>
      </c>
      <c r="H210" s="22">
        <v>42610</v>
      </c>
      <c r="I210" s="18"/>
      <c r="J210" s="18"/>
      <c r="K210" s="39"/>
      <c r="L210" s="27"/>
    </row>
    <row r="211" spans="1:12" x14ac:dyDescent="0.2">
      <c r="A211" t="s">
        <v>14</v>
      </c>
      <c r="B211" s="50"/>
      <c r="C211" s="51"/>
      <c r="D211" s="51"/>
      <c r="E211" s="51"/>
      <c r="F211" s="51"/>
      <c r="G211" s="51"/>
      <c r="H211" s="51"/>
      <c r="I211" s="8">
        <f>SUM(B211:H211)</f>
        <v>0</v>
      </c>
      <c r="J211" s="8">
        <v>86.301369863013704</v>
      </c>
      <c r="K211" s="41">
        <f>I211-J211</f>
        <v>-86.301369863013704</v>
      </c>
      <c r="L211" s="16"/>
    </row>
    <row r="212" spans="1:12" x14ac:dyDescent="0.2">
      <c r="A212" t="s">
        <v>15</v>
      </c>
      <c r="B212" s="50"/>
      <c r="C212" s="51"/>
      <c r="D212" s="51"/>
      <c r="E212" s="51"/>
      <c r="F212" s="51"/>
      <c r="G212" s="51"/>
      <c r="H212" s="51"/>
      <c r="I212" s="8">
        <f>SUM(B212:H212)</f>
        <v>0</v>
      </c>
      <c r="J212" s="8">
        <v>115.06849315068494</v>
      </c>
      <c r="K212" s="41">
        <f>I212-J212</f>
        <v>-115.06849315068494</v>
      </c>
      <c r="L212" s="17">
        <f>K211+K212+L207</f>
        <v>-805.47945205479459</v>
      </c>
    </row>
    <row r="213" spans="1:12" x14ac:dyDescent="0.2">
      <c r="A213" t="s">
        <v>17</v>
      </c>
      <c r="B213" s="57"/>
      <c r="C213" s="52"/>
      <c r="D213" s="52"/>
      <c r="E213" s="52"/>
      <c r="F213" s="52"/>
      <c r="G213" s="52"/>
      <c r="H213" s="52"/>
      <c r="I213" s="8">
        <f>SUM(B213:H213)</f>
        <v>0</v>
      </c>
      <c r="J213" s="8"/>
      <c r="K213" s="41"/>
      <c r="L213" s="17"/>
    </row>
    <row r="214" spans="1:12" x14ac:dyDescent="0.2">
      <c r="A214" t="s">
        <v>2</v>
      </c>
      <c r="B214" s="50"/>
      <c r="C214" s="51"/>
      <c r="D214" s="51"/>
      <c r="E214" s="51"/>
      <c r="F214" s="51"/>
      <c r="G214" s="51"/>
      <c r="H214" s="51"/>
      <c r="I214" s="8">
        <f>SUM(B214:H214)</f>
        <v>0</v>
      </c>
      <c r="J214" s="8"/>
      <c r="K214" s="41"/>
      <c r="L214" s="16"/>
    </row>
    <row r="215" spans="1:12" x14ac:dyDescent="0.2">
      <c r="A215" s="2"/>
      <c r="B215" s="23">
        <v>42611</v>
      </c>
      <c r="C215" s="23">
        <v>42612</v>
      </c>
      <c r="D215" s="23">
        <v>42613</v>
      </c>
      <c r="F215" s="28"/>
      <c r="G215" s="28"/>
      <c r="H215" s="28"/>
      <c r="I215" s="18"/>
      <c r="J215" s="18"/>
      <c r="K215" s="39"/>
      <c r="L215" s="27"/>
    </row>
    <row r="216" spans="1:12" s="2" customFormat="1" x14ac:dyDescent="0.2">
      <c r="A216" t="s">
        <v>14</v>
      </c>
      <c r="B216" s="50"/>
      <c r="C216" s="51"/>
      <c r="D216" s="51"/>
      <c r="E216" s="51"/>
      <c r="F216" s="51"/>
      <c r="G216" s="51"/>
      <c r="H216" s="51"/>
      <c r="I216" s="8">
        <f>SUM(B216:H216)</f>
        <v>0</v>
      </c>
      <c r="J216" s="8">
        <v>36.986301369863014</v>
      </c>
      <c r="K216" s="41">
        <f>I216-J216</f>
        <v>-36.986301369863014</v>
      </c>
      <c r="L216" s="16"/>
    </row>
    <row r="217" spans="1:12" x14ac:dyDescent="0.2">
      <c r="A217" t="s">
        <v>15</v>
      </c>
      <c r="B217" s="50"/>
      <c r="C217" s="51"/>
      <c r="D217" s="51"/>
      <c r="E217" s="51"/>
      <c r="F217" s="51"/>
      <c r="G217" s="51"/>
      <c r="H217" s="51"/>
      <c r="I217" s="8">
        <f>SUM(B217:H217)</f>
        <v>0</v>
      </c>
      <c r="J217" s="8">
        <v>49.31506849315069</v>
      </c>
      <c r="K217" s="41">
        <f>I217-J217</f>
        <v>-49.31506849315069</v>
      </c>
      <c r="L217" s="17">
        <f>K216+K217+L212+K219</f>
        <v>-1001.7808219178083</v>
      </c>
    </row>
    <row r="218" spans="1:12" x14ac:dyDescent="0.2">
      <c r="A218" t="s">
        <v>17</v>
      </c>
      <c r="B218" s="57"/>
      <c r="C218" s="52"/>
      <c r="D218" s="52"/>
      <c r="E218" s="52"/>
      <c r="F218" s="52"/>
      <c r="G218" s="52"/>
      <c r="H218" s="52"/>
      <c r="I218" s="8">
        <f>SUM(B218:H218)</f>
        <v>0</v>
      </c>
      <c r="J218" s="8"/>
      <c r="K218" s="41"/>
      <c r="L218" s="17"/>
    </row>
    <row r="219" spans="1:12" x14ac:dyDescent="0.2">
      <c r="A219" t="s">
        <v>2</v>
      </c>
      <c r="B219" s="50"/>
      <c r="C219" s="51"/>
      <c r="D219" s="51"/>
      <c r="E219" s="51"/>
      <c r="F219" s="51"/>
      <c r="G219" s="51"/>
      <c r="H219" s="51"/>
      <c r="I219" s="34">
        <f>SUM(I199,I204,I209,I214,B219:H219)</f>
        <v>0</v>
      </c>
      <c r="J219" s="30">
        <v>110</v>
      </c>
      <c r="K219" s="42">
        <f>I219-J219</f>
        <v>-110</v>
      </c>
      <c r="L219" s="35" t="s">
        <v>2</v>
      </c>
    </row>
    <row r="220" spans="1:12" x14ac:dyDescent="0.2">
      <c r="B220" s="9"/>
      <c r="C220" s="10"/>
      <c r="D220" s="10"/>
      <c r="E220" s="10"/>
      <c r="F220" s="10"/>
      <c r="G220" s="10"/>
      <c r="H220" s="29" t="s">
        <v>3</v>
      </c>
      <c r="I220" s="30">
        <f>SUM(I196:I218)</f>
        <v>0</v>
      </c>
      <c r="J220" s="30">
        <v>1001.7808219178082</v>
      </c>
      <c r="K220" s="45">
        <f>I220-J220</f>
        <v>-1001.7808219178082</v>
      </c>
      <c r="L220" s="56">
        <f ca="1">IF($N$1&gt;D215,(-K220)/(DAYS360(B195,D215)-1),(IF(B195&lt;$N$1,(K220/(DAYS360($N$1,D215)+1)),(K220/(DAYS360(B195,D215)+1)))*-1))</f>
        <v>34.544166273027869</v>
      </c>
    </row>
    <row r="221" spans="1:12" s="2" customFormat="1" x14ac:dyDescent="0.2">
      <c r="B221" s="24"/>
      <c r="C221" s="25"/>
      <c r="D221" s="25"/>
      <c r="E221" s="21">
        <v>42614</v>
      </c>
      <c r="F221" s="21">
        <v>42615</v>
      </c>
      <c r="G221" s="21">
        <v>42616</v>
      </c>
      <c r="H221" s="21">
        <v>42617</v>
      </c>
      <c r="I221" s="26"/>
      <c r="J221" s="26"/>
      <c r="K221" s="44"/>
      <c r="L221" s="27"/>
    </row>
    <row r="222" spans="1:12" x14ac:dyDescent="0.2">
      <c r="A222" t="s">
        <v>14</v>
      </c>
      <c r="B222" s="50"/>
      <c r="C222" s="51"/>
      <c r="D222" s="51"/>
      <c r="E222" s="51"/>
      <c r="F222" s="51"/>
      <c r="G222" s="51"/>
      <c r="H222" s="51"/>
      <c r="I222" s="8">
        <f>SUM(B222:H222)</f>
        <v>0</v>
      </c>
      <c r="J222" s="8">
        <v>49.315068493150683</v>
      </c>
      <c r="K222" s="41">
        <f>I222-J222</f>
        <v>-49.315068493150683</v>
      </c>
      <c r="L222" s="16"/>
    </row>
    <row r="223" spans="1:12" x14ac:dyDescent="0.2">
      <c r="A223" t="s">
        <v>15</v>
      </c>
      <c r="B223" s="50"/>
      <c r="C223" s="51"/>
      <c r="D223" s="51"/>
      <c r="E223" s="51"/>
      <c r="F223" s="51"/>
      <c r="G223" s="51"/>
      <c r="H223" s="51"/>
      <c r="I223" s="8">
        <f>SUM(B223:H223)</f>
        <v>0</v>
      </c>
      <c r="J223" s="8">
        <v>65.753424657534254</v>
      </c>
      <c r="K223" s="41">
        <f>I223-J223</f>
        <v>-65.753424657534254</v>
      </c>
      <c r="L223" s="17"/>
    </row>
    <row r="224" spans="1:12" x14ac:dyDescent="0.2">
      <c r="A224" t="s">
        <v>17</v>
      </c>
      <c r="B224" s="57"/>
      <c r="C224" s="52"/>
      <c r="D224" s="52"/>
      <c r="E224" s="52"/>
      <c r="F224" s="52"/>
      <c r="G224" s="52"/>
      <c r="H224" s="52"/>
      <c r="I224" s="8">
        <f>SUM(B224:H224)</f>
        <v>0</v>
      </c>
      <c r="J224" s="8"/>
      <c r="K224" s="41"/>
      <c r="L224" s="17"/>
    </row>
    <row r="225" spans="1:12" x14ac:dyDescent="0.2">
      <c r="A225" t="s">
        <v>2</v>
      </c>
      <c r="B225" s="9"/>
      <c r="C225" s="10"/>
      <c r="D225" s="10"/>
      <c r="E225" s="10"/>
      <c r="F225" s="10"/>
      <c r="G225" s="10"/>
      <c r="H225" s="10"/>
      <c r="I225" s="8">
        <f>SUM(B225:H225)</f>
        <v>0</v>
      </c>
      <c r="J225" s="8"/>
      <c r="K225" s="41"/>
      <c r="L225" s="16"/>
    </row>
    <row r="226" spans="1:12" s="2" customFormat="1" x14ac:dyDescent="0.2">
      <c r="B226" s="22">
        <v>42618</v>
      </c>
      <c r="C226" s="23">
        <v>42619</v>
      </c>
      <c r="D226" s="23">
        <v>42620</v>
      </c>
      <c r="E226" s="23">
        <v>42621</v>
      </c>
      <c r="F226" s="23">
        <v>42622</v>
      </c>
      <c r="G226" s="23">
        <v>42623</v>
      </c>
      <c r="H226" s="23">
        <v>42624</v>
      </c>
      <c r="I226" s="18"/>
      <c r="J226" s="18"/>
      <c r="K226" s="39"/>
      <c r="L226" s="27"/>
    </row>
    <row r="227" spans="1:12" x14ac:dyDescent="0.2">
      <c r="A227" t="s">
        <v>14</v>
      </c>
      <c r="B227" s="50"/>
      <c r="C227" s="51"/>
      <c r="D227" s="51"/>
      <c r="E227" s="51"/>
      <c r="F227" s="51"/>
      <c r="G227" s="51"/>
      <c r="H227" s="51"/>
      <c r="I227" s="8">
        <f>SUM(B227:H227)</f>
        <v>0</v>
      </c>
      <c r="J227" s="8">
        <v>86.301369863013704</v>
      </c>
      <c r="K227" s="41">
        <f>I227-J227</f>
        <v>-86.301369863013704</v>
      </c>
      <c r="L227" s="16"/>
    </row>
    <row r="228" spans="1:12" x14ac:dyDescent="0.2">
      <c r="A228" t="s">
        <v>15</v>
      </c>
      <c r="B228" s="50"/>
      <c r="C228" s="51"/>
      <c r="D228" s="51"/>
      <c r="E228" s="51"/>
      <c r="F228" s="51"/>
      <c r="G228" s="51"/>
      <c r="H228" s="51"/>
      <c r="I228" s="8">
        <f>SUM(B228:H228)</f>
        <v>0</v>
      </c>
      <c r="J228" s="8">
        <v>115.06849315068494</v>
      </c>
      <c r="K228" s="41">
        <f>I228-J228</f>
        <v>-115.06849315068494</v>
      </c>
      <c r="L228" s="17">
        <f>K227+K228+K222+K223</f>
        <v>-316.43835616438355</v>
      </c>
    </row>
    <row r="229" spans="1:12" x14ac:dyDescent="0.2">
      <c r="A229" t="s">
        <v>17</v>
      </c>
      <c r="B229" s="57"/>
      <c r="C229" s="52"/>
      <c r="D229" s="52"/>
      <c r="E229" s="52"/>
      <c r="F229" s="52"/>
      <c r="G229" s="52"/>
      <c r="H229" s="52"/>
      <c r="I229" s="8">
        <f>SUM(B229:H229)</f>
        <v>0</v>
      </c>
      <c r="J229" s="8"/>
      <c r="K229" s="41"/>
      <c r="L229" s="17"/>
    </row>
    <row r="230" spans="1:12" x14ac:dyDescent="0.2">
      <c r="A230" t="s">
        <v>2</v>
      </c>
      <c r="B230" s="50"/>
      <c r="C230" s="51"/>
      <c r="D230" s="51"/>
      <c r="E230" s="51"/>
      <c r="F230" s="51"/>
      <c r="G230" s="51"/>
      <c r="H230" s="51"/>
      <c r="I230" s="8">
        <f>SUM(B230:H230)</f>
        <v>0</v>
      </c>
      <c r="J230" s="8"/>
      <c r="K230" s="41"/>
      <c r="L230" s="16"/>
    </row>
    <row r="231" spans="1:12" s="2" customFormat="1" x14ac:dyDescent="0.2">
      <c r="B231" s="22">
        <v>42625</v>
      </c>
      <c r="C231" s="23">
        <v>42626</v>
      </c>
      <c r="D231" s="23">
        <v>42627</v>
      </c>
      <c r="E231" s="23">
        <v>42628</v>
      </c>
      <c r="F231" s="23">
        <v>42629</v>
      </c>
      <c r="G231" s="23">
        <v>42630</v>
      </c>
      <c r="H231" s="23">
        <v>42631</v>
      </c>
      <c r="I231" s="18"/>
      <c r="J231" s="18"/>
      <c r="K231" s="39"/>
      <c r="L231" s="27"/>
    </row>
    <row r="232" spans="1:12" x14ac:dyDescent="0.2">
      <c r="A232" t="s">
        <v>14</v>
      </c>
      <c r="B232" s="50"/>
      <c r="C232" s="51"/>
      <c r="D232" s="51"/>
      <c r="E232" s="51"/>
      <c r="F232" s="51"/>
      <c r="G232" s="51"/>
      <c r="H232" s="51"/>
      <c r="I232" s="8">
        <f>SUM(B232:H232)</f>
        <v>0</v>
      </c>
      <c r="J232" s="8">
        <v>86.301369863013704</v>
      </c>
      <c r="K232" s="41">
        <f>I232-J232</f>
        <v>-86.301369863013704</v>
      </c>
      <c r="L232" s="16"/>
    </row>
    <row r="233" spans="1:12" x14ac:dyDescent="0.2">
      <c r="A233" t="s">
        <v>15</v>
      </c>
      <c r="B233" s="50"/>
      <c r="C233" s="51"/>
      <c r="D233" s="51"/>
      <c r="E233" s="51"/>
      <c r="F233" s="51"/>
      <c r="G233" s="51"/>
      <c r="H233" s="51"/>
      <c r="I233" s="8">
        <f>SUM(B233:H233)</f>
        <v>0</v>
      </c>
      <c r="J233" s="8">
        <v>115.06849315068494</v>
      </c>
      <c r="K233" s="41">
        <f>I233-J233</f>
        <v>-115.06849315068494</v>
      </c>
      <c r="L233" s="17">
        <f>K232+K233+L228</f>
        <v>-517.80821917808225</v>
      </c>
    </row>
    <row r="234" spans="1:12" x14ac:dyDescent="0.2">
      <c r="A234" t="s">
        <v>17</v>
      </c>
      <c r="B234" s="57"/>
      <c r="C234" s="52"/>
      <c r="D234" s="52"/>
      <c r="E234" s="52"/>
      <c r="F234" s="52"/>
      <c r="G234" s="52"/>
      <c r="H234" s="52"/>
      <c r="I234" s="8">
        <f>SUM(B234:H234)</f>
        <v>0</v>
      </c>
      <c r="J234" s="8"/>
      <c r="K234" s="41"/>
      <c r="L234" s="17"/>
    </row>
    <row r="235" spans="1:12" x14ac:dyDescent="0.2">
      <c r="A235" t="s">
        <v>2</v>
      </c>
      <c r="B235" s="50"/>
      <c r="C235" s="51"/>
      <c r="D235" s="51"/>
      <c r="E235" s="51"/>
      <c r="F235" s="51"/>
      <c r="G235" s="51"/>
      <c r="H235" s="51"/>
      <c r="I235" s="8">
        <f>SUM(B235:H235)</f>
        <v>0</v>
      </c>
      <c r="J235" s="8"/>
      <c r="K235" s="41"/>
      <c r="L235" s="16"/>
    </row>
    <row r="236" spans="1:12" s="2" customFormat="1" x14ac:dyDescent="0.2">
      <c r="B236" s="22">
        <v>42632</v>
      </c>
      <c r="C236" s="23">
        <v>42633</v>
      </c>
      <c r="D236" s="23">
        <v>42634</v>
      </c>
      <c r="E236" s="23">
        <v>42635</v>
      </c>
      <c r="F236" s="23">
        <v>42636</v>
      </c>
      <c r="G236" s="23">
        <v>42637</v>
      </c>
      <c r="H236" s="23">
        <v>42638</v>
      </c>
      <c r="I236" s="18"/>
      <c r="J236" s="18"/>
      <c r="K236" s="39"/>
      <c r="L236" s="27"/>
    </row>
    <row r="237" spans="1:12" x14ac:dyDescent="0.2">
      <c r="A237" t="s">
        <v>14</v>
      </c>
      <c r="B237" s="50"/>
      <c r="C237" s="51"/>
      <c r="D237" s="51"/>
      <c r="E237" s="51"/>
      <c r="F237" s="51"/>
      <c r="G237" s="51"/>
      <c r="H237" s="51"/>
      <c r="I237" s="8">
        <f>SUM(B237:H237)</f>
        <v>0</v>
      </c>
      <c r="J237" s="8">
        <v>86.301369863013704</v>
      </c>
      <c r="K237" s="41">
        <f>I237-J237</f>
        <v>-86.301369863013704</v>
      </c>
      <c r="L237" s="16"/>
    </row>
    <row r="238" spans="1:12" x14ac:dyDescent="0.2">
      <c r="A238" t="s">
        <v>15</v>
      </c>
      <c r="B238" s="50"/>
      <c r="C238" s="51"/>
      <c r="D238" s="51"/>
      <c r="E238" s="51"/>
      <c r="F238" s="51"/>
      <c r="G238" s="51"/>
      <c r="H238" s="51"/>
      <c r="I238" s="8">
        <f>SUM(B238:H238)</f>
        <v>0</v>
      </c>
      <c r="J238" s="8">
        <v>115.06849315068494</v>
      </c>
      <c r="K238" s="41">
        <f>I238-J238</f>
        <v>-115.06849315068494</v>
      </c>
      <c r="L238" s="17">
        <f>K237+K238+L233</f>
        <v>-719.17808219178096</v>
      </c>
    </row>
    <row r="239" spans="1:12" x14ac:dyDescent="0.2">
      <c r="A239" t="s">
        <v>17</v>
      </c>
      <c r="B239" s="57"/>
      <c r="C239" s="52"/>
      <c r="D239" s="52"/>
      <c r="E239" s="52"/>
      <c r="F239" s="52"/>
      <c r="G239" s="52"/>
      <c r="H239" s="52"/>
      <c r="I239" s="8">
        <f>SUM(B239:H239)</f>
        <v>0</v>
      </c>
      <c r="J239" s="8"/>
      <c r="K239" s="41"/>
      <c r="L239" s="17"/>
    </row>
    <row r="240" spans="1:12" x14ac:dyDescent="0.2">
      <c r="A240" t="s">
        <v>2</v>
      </c>
      <c r="B240" s="50"/>
      <c r="C240" s="51"/>
      <c r="D240" s="51"/>
      <c r="E240" s="51"/>
      <c r="F240" s="51"/>
      <c r="G240" s="51"/>
      <c r="H240" s="51"/>
      <c r="I240" s="8">
        <f>SUM(B240:H240)</f>
        <v>0</v>
      </c>
      <c r="J240" s="8"/>
      <c r="K240" s="41"/>
      <c r="L240" s="16"/>
    </row>
    <row r="241" spans="1:12" x14ac:dyDescent="0.2">
      <c r="A241" s="2"/>
      <c r="B241" s="22">
        <v>42639</v>
      </c>
      <c r="C241" s="23">
        <v>42640</v>
      </c>
      <c r="D241" s="23">
        <v>42641</v>
      </c>
      <c r="E241" s="23">
        <v>42642</v>
      </c>
      <c r="F241" s="23">
        <v>42643</v>
      </c>
      <c r="G241" s="10"/>
      <c r="H241" s="28"/>
      <c r="I241" s="18"/>
      <c r="J241" s="18"/>
      <c r="K241" s="39"/>
      <c r="L241" s="27"/>
    </row>
    <row r="242" spans="1:12" x14ac:dyDescent="0.2">
      <c r="A242" t="s">
        <v>14</v>
      </c>
      <c r="B242" s="50"/>
      <c r="C242" s="51"/>
      <c r="D242" s="51"/>
      <c r="E242" s="51"/>
      <c r="F242" s="51"/>
      <c r="G242" s="51"/>
      <c r="H242" s="51"/>
      <c r="I242" s="8">
        <f>SUM(B242:H242)</f>
        <v>0</v>
      </c>
      <c r="J242" s="8">
        <v>61.643835616438359</v>
      </c>
      <c r="K242" s="41">
        <f>I242-J242</f>
        <v>-61.643835616438359</v>
      </c>
      <c r="L242" s="16"/>
    </row>
    <row r="243" spans="1:12" x14ac:dyDescent="0.2">
      <c r="A243" t="s">
        <v>15</v>
      </c>
      <c r="B243" s="50"/>
      <c r="C243" s="51"/>
      <c r="D243" s="51"/>
      <c r="E243" s="51"/>
      <c r="F243" s="51"/>
      <c r="G243" s="51"/>
      <c r="H243" s="51"/>
      <c r="I243" s="8">
        <f>SUM(B243:H243)</f>
        <v>0</v>
      </c>
      <c r="J243" s="8">
        <v>82.191780821917817</v>
      </c>
      <c r="K243" s="41">
        <f>I243-J243</f>
        <v>-82.191780821917817</v>
      </c>
      <c r="L243" s="17">
        <f>K242+K243+L238+K245</f>
        <v>-973.01369863013713</v>
      </c>
    </row>
    <row r="244" spans="1:12" x14ac:dyDescent="0.2">
      <c r="A244" t="s">
        <v>17</v>
      </c>
      <c r="B244" s="7"/>
      <c r="C244" s="8"/>
      <c r="D244" s="8"/>
      <c r="E244" s="8"/>
      <c r="F244" s="8"/>
      <c r="G244" s="8"/>
      <c r="H244" s="8"/>
      <c r="I244" s="34">
        <f>SUM(I224,I229,I234,I239,B244:H244)</f>
        <v>0</v>
      </c>
      <c r="J244" s="30"/>
      <c r="K244" s="42">
        <f>I244-J244</f>
        <v>0</v>
      </c>
      <c r="L244" s="38" t="s">
        <v>17</v>
      </c>
    </row>
    <row r="245" spans="1:12" x14ac:dyDescent="0.2">
      <c r="A245" t="s">
        <v>2</v>
      </c>
      <c r="B245" s="9"/>
      <c r="C245" s="10"/>
      <c r="D245" s="10"/>
      <c r="E245" s="10"/>
      <c r="F245" s="10"/>
      <c r="G245" s="10"/>
      <c r="H245" s="10"/>
      <c r="I245" s="34">
        <f>SUM(I225,I230,I235,I240,B245:H245)</f>
        <v>0</v>
      </c>
      <c r="J245" s="30">
        <v>110</v>
      </c>
      <c r="K245" s="42">
        <f>I245-J245</f>
        <v>-110</v>
      </c>
      <c r="L245" s="35" t="s">
        <v>2</v>
      </c>
    </row>
    <row r="246" spans="1:12" x14ac:dyDescent="0.2">
      <c r="B246" s="9"/>
      <c r="C246" s="10"/>
      <c r="D246" s="10"/>
      <c r="E246" s="10"/>
      <c r="F246" s="10"/>
      <c r="G246" s="10"/>
      <c r="H246" s="29" t="s">
        <v>3</v>
      </c>
      <c r="I246" s="30">
        <f>SUM(I222:I243)</f>
        <v>0</v>
      </c>
      <c r="J246" s="30">
        <v>973.01369863013713</v>
      </c>
      <c r="K246" s="45">
        <f>SUM(K222:K245)</f>
        <v>-973.01369863013713</v>
      </c>
      <c r="L246" s="48">
        <f ca="1">IF(E221&lt;$N$1,(K246/(DAYS360($N$1,F241)+1)),(K246/(DAYS360(E221,F241)+1)))*-1</f>
        <v>243.25342465753428</v>
      </c>
    </row>
    <row r="247" spans="1:12" s="2" customFormat="1" x14ac:dyDescent="0.2">
      <c r="A247"/>
      <c r="B247" s="12"/>
      <c r="C247" s="6"/>
      <c r="D247" s="6"/>
      <c r="E247" s="6"/>
      <c r="F247" s="6"/>
      <c r="G247" s="21">
        <v>42644</v>
      </c>
      <c r="H247" s="21">
        <v>42645</v>
      </c>
      <c r="I247" s="19"/>
      <c r="J247" s="19"/>
      <c r="K247" s="40"/>
      <c r="L247" s="16"/>
    </row>
    <row r="248" spans="1:12" x14ac:dyDescent="0.2">
      <c r="A248" t="s">
        <v>14</v>
      </c>
      <c r="B248" s="50"/>
      <c r="C248" s="51"/>
      <c r="D248" s="51"/>
      <c r="E248" s="51"/>
      <c r="F248" s="51"/>
      <c r="G248" s="51"/>
      <c r="H248" s="51"/>
      <c r="I248" s="8">
        <f>SUM(B248:H248)</f>
        <v>0</v>
      </c>
      <c r="J248" s="8">
        <v>24.657534246575342</v>
      </c>
      <c r="K248" s="41">
        <f>I248-J248</f>
        <v>-24.657534246575342</v>
      </c>
      <c r="L248" s="16"/>
    </row>
    <row r="249" spans="1:12" x14ac:dyDescent="0.2">
      <c r="A249" t="s">
        <v>15</v>
      </c>
      <c r="B249" s="50"/>
      <c r="C249" s="51"/>
      <c r="D249" s="51"/>
      <c r="E249" s="51"/>
      <c r="F249" s="51"/>
      <c r="G249" s="51"/>
      <c r="H249" s="51"/>
      <c r="I249" s="8">
        <f>SUM(B249:H249)</f>
        <v>0</v>
      </c>
      <c r="J249" s="8">
        <v>32.876712328767127</v>
      </c>
      <c r="K249" s="41">
        <f>I249-J249</f>
        <v>-32.876712328767127</v>
      </c>
      <c r="L249" s="17"/>
    </row>
    <row r="250" spans="1:12" x14ac:dyDescent="0.2">
      <c r="A250" t="s">
        <v>17</v>
      </c>
      <c r="B250" s="57"/>
      <c r="C250" s="52"/>
      <c r="D250" s="52"/>
      <c r="E250" s="52"/>
      <c r="F250" s="52"/>
      <c r="G250" s="52"/>
      <c r="H250" s="52"/>
      <c r="I250" s="8">
        <f>SUM(B250:H250)</f>
        <v>0</v>
      </c>
      <c r="J250" s="8"/>
      <c r="K250" s="41"/>
      <c r="L250" s="17"/>
    </row>
    <row r="251" spans="1:12" x14ac:dyDescent="0.2">
      <c r="A251" t="s">
        <v>2</v>
      </c>
      <c r="B251" s="50"/>
      <c r="C251" s="51"/>
      <c r="D251" s="51"/>
      <c r="E251" s="51"/>
      <c r="F251" s="51"/>
      <c r="G251" s="51"/>
      <c r="H251" s="51"/>
      <c r="I251" s="8">
        <f>SUM(B251:H251)</f>
        <v>0</v>
      </c>
      <c r="J251" s="8"/>
      <c r="K251" s="41"/>
      <c r="L251" s="17"/>
    </row>
    <row r="252" spans="1:12" s="2" customFormat="1" x14ac:dyDescent="0.2">
      <c r="B252" s="22">
        <v>42646</v>
      </c>
      <c r="C252" s="23">
        <v>42647</v>
      </c>
      <c r="D252" s="23">
        <v>42648</v>
      </c>
      <c r="E252" s="23">
        <v>42649</v>
      </c>
      <c r="F252" s="23">
        <v>42650</v>
      </c>
      <c r="G252" s="23">
        <v>42651</v>
      </c>
      <c r="H252" s="23">
        <v>42652</v>
      </c>
      <c r="I252" s="18"/>
      <c r="J252" s="18"/>
      <c r="K252" s="39"/>
      <c r="L252" s="27"/>
    </row>
    <row r="253" spans="1:12" x14ac:dyDescent="0.2">
      <c r="A253" t="s">
        <v>14</v>
      </c>
      <c r="B253" s="50"/>
      <c r="C253" s="51"/>
      <c r="D253" s="51"/>
      <c r="E253" s="51"/>
      <c r="F253" s="51"/>
      <c r="G253" s="51"/>
      <c r="H253" s="51"/>
      <c r="I253" s="8">
        <f>SUM(B253:H253)</f>
        <v>0</v>
      </c>
      <c r="J253" s="8">
        <v>86.301369863013704</v>
      </c>
      <c r="K253" s="41">
        <f>I253-J253</f>
        <v>-86.301369863013704</v>
      </c>
      <c r="L253" s="16"/>
    </row>
    <row r="254" spans="1:12" x14ac:dyDescent="0.2">
      <c r="A254" t="s">
        <v>15</v>
      </c>
      <c r="B254" s="50"/>
      <c r="C254" s="51"/>
      <c r="D254" s="51"/>
      <c r="E254" s="51"/>
      <c r="F254" s="51"/>
      <c r="G254" s="51"/>
      <c r="H254" s="51"/>
      <c r="I254" s="8">
        <f>SUM(B254:H254)</f>
        <v>0</v>
      </c>
      <c r="J254" s="8">
        <v>115.06849315068494</v>
      </c>
      <c r="K254" s="41">
        <f>I254-J254</f>
        <v>-115.06849315068494</v>
      </c>
      <c r="L254" s="17">
        <f>K253+K254+K248+K249</f>
        <v>-258.90410958904113</v>
      </c>
    </row>
    <row r="255" spans="1:12" x14ac:dyDescent="0.2">
      <c r="A255" t="s">
        <v>17</v>
      </c>
      <c r="B255" s="57"/>
      <c r="C255" s="52"/>
      <c r="D255" s="52"/>
      <c r="E255" s="52"/>
      <c r="F255" s="52"/>
      <c r="G255" s="52"/>
      <c r="H255" s="52"/>
      <c r="I255" s="8">
        <f>SUM(B255:H255)</f>
        <v>0</v>
      </c>
      <c r="J255" s="8"/>
      <c r="K255" s="41"/>
      <c r="L255" s="17"/>
    </row>
    <row r="256" spans="1:12" x14ac:dyDescent="0.2">
      <c r="A256" t="s">
        <v>2</v>
      </c>
      <c r="B256" s="50"/>
      <c r="C256" s="51"/>
      <c r="D256" s="51"/>
      <c r="E256" s="51"/>
      <c r="F256" s="51"/>
      <c r="G256" s="51"/>
      <c r="H256" s="51"/>
      <c r="I256" s="8">
        <f>SUM(B256:H256)</f>
        <v>0</v>
      </c>
      <c r="J256" s="8"/>
      <c r="K256" s="41"/>
      <c r="L256" s="16"/>
    </row>
    <row r="257" spans="1:12" s="2" customFormat="1" x14ac:dyDescent="0.2">
      <c r="B257" s="22">
        <v>42653</v>
      </c>
      <c r="C257" s="23">
        <v>42654</v>
      </c>
      <c r="D257" s="23">
        <v>42655</v>
      </c>
      <c r="E257" s="23">
        <v>42656</v>
      </c>
      <c r="F257" s="23">
        <v>42657</v>
      </c>
      <c r="G257" s="23">
        <v>42658</v>
      </c>
      <c r="H257" s="23">
        <v>42659</v>
      </c>
      <c r="I257" s="18"/>
      <c r="J257" s="18"/>
      <c r="K257" s="39"/>
      <c r="L257" s="27"/>
    </row>
    <row r="258" spans="1:12" x14ac:dyDescent="0.2">
      <c r="A258" t="s">
        <v>14</v>
      </c>
      <c r="B258" s="50"/>
      <c r="C258" s="51"/>
      <c r="D258" s="51"/>
      <c r="E258" s="51"/>
      <c r="F258" s="51"/>
      <c r="G258" s="51"/>
      <c r="H258" s="51"/>
      <c r="I258" s="8">
        <f>SUM(B258:H258)</f>
        <v>0</v>
      </c>
      <c r="J258" s="8">
        <v>86.301369863013704</v>
      </c>
      <c r="K258" s="41">
        <f>I258-J258</f>
        <v>-86.301369863013704</v>
      </c>
      <c r="L258" s="16"/>
    </row>
    <row r="259" spans="1:12" x14ac:dyDescent="0.2">
      <c r="A259" t="s">
        <v>15</v>
      </c>
      <c r="B259" s="50"/>
      <c r="C259" s="51"/>
      <c r="D259" s="51"/>
      <c r="E259" s="51"/>
      <c r="F259" s="51"/>
      <c r="G259" s="51"/>
      <c r="H259" s="51"/>
      <c r="I259" s="8">
        <f>SUM(B259:H259)</f>
        <v>0</v>
      </c>
      <c r="J259" s="8">
        <v>115.06849315068494</v>
      </c>
      <c r="K259" s="41">
        <f>I259-J259</f>
        <v>-115.06849315068494</v>
      </c>
      <c r="L259" s="17">
        <f>K258+K259+L254</f>
        <v>-460.27397260273978</v>
      </c>
    </row>
    <row r="260" spans="1:12" x14ac:dyDescent="0.2">
      <c r="A260" t="s">
        <v>17</v>
      </c>
      <c r="B260" s="57"/>
      <c r="C260" s="52"/>
      <c r="D260" s="52"/>
      <c r="E260" s="52"/>
      <c r="F260" s="52"/>
      <c r="G260" s="52"/>
      <c r="H260" s="52"/>
      <c r="I260" s="8">
        <f>SUM(B260:H260)</f>
        <v>0</v>
      </c>
      <c r="J260" s="8"/>
      <c r="K260" s="41"/>
      <c r="L260" s="17"/>
    </row>
    <row r="261" spans="1:12" x14ac:dyDescent="0.2">
      <c r="A261" t="s">
        <v>2</v>
      </c>
      <c r="B261" s="50"/>
      <c r="C261" s="51"/>
      <c r="D261" s="51"/>
      <c r="E261" s="51"/>
      <c r="F261" s="51"/>
      <c r="G261" s="51"/>
      <c r="H261" s="51"/>
      <c r="I261" s="8">
        <f>SUM(B261:H261)</f>
        <v>0</v>
      </c>
      <c r="J261" s="8"/>
      <c r="K261" s="41"/>
      <c r="L261" s="16"/>
    </row>
    <row r="262" spans="1:12" s="2" customFormat="1" x14ac:dyDescent="0.2">
      <c r="B262" s="22">
        <v>42660</v>
      </c>
      <c r="C262" s="23">
        <v>42661</v>
      </c>
      <c r="D262" s="23">
        <v>42662</v>
      </c>
      <c r="E262" s="23">
        <v>42663</v>
      </c>
      <c r="F262" s="23">
        <v>42664</v>
      </c>
      <c r="G262" s="23">
        <v>42665</v>
      </c>
      <c r="H262" s="23">
        <v>42666</v>
      </c>
      <c r="I262" s="18"/>
      <c r="J262" s="18"/>
      <c r="K262" s="39"/>
      <c r="L262" s="27"/>
    </row>
    <row r="263" spans="1:12" x14ac:dyDescent="0.2">
      <c r="A263" t="s">
        <v>14</v>
      </c>
      <c r="B263" s="50"/>
      <c r="C263" s="51"/>
      <c r="D263" s="51"/>
      <c r="E263" s="51"/>
      <c r="F263" s="51"/>
      <c r="G263" s="51"/>
      <c r="H263" s="51"/>
      <c r="I263" s="8">
        <f>SUM(B263:H263)</f>
        <v>0</v>
      </c>
      <c r="J263" s="8">
        <v>86.301369863013704</v>
      </c>
      <c r="K263" s="41">
        <f>I263-J263</f>
        <v>-86.301369863013704</v>
      </c>
      <c r="L263" s="16"/>
    </row>
    <row r="264" spans="1:12" x14ac:dyDescent="0.2">
      <c r="A264" t="s">
        <v>15</v>
      </c>
      <c r="B264" s="50"/>
      <c r="C264" s="51"/>
      <c r="D264" s="51"/>
      <c r="E264" s="51"/>
      <c r="F264" s="51"/>
      <c r="G264" s="51"/>
      <c r="H264" s="51"/>
      <c r="I264" s="8">
        <f>SUM(B264:H264)</f>
        <v>0</v>
      </c>
      <c r="J264" s="8">
        <v>115.06849315068494</v>
      </c>
      <c r="K264" s="41">
        <f>I264-J264</f>
        <v>-115.06849315068494</v>
      </c>
      <c r="L264" s="17">
        <f>K263+K264+L259</f>
        <v>-661.64383561643842</v>
      </c>
    </row>
    <row r="265" spans="1:12" x14ac:dyDescent="0.2">
      <c r="A265" t="s">
        <v>17</v>
      </c>
      <c r="B265" s="57"/>
      <c r="C265" s="52"/>
      <c r="D265" s="52"/>
      <c r="E265" s="52"/>
      <c r="F265" s="52"/>
      <c r="G265" s="52"/>
      <c r="H265" s="52"/>
      <c r="I265" s="8">
        <f>SUM(B265:H265)</f>
        <v>0</v>
      </c>
      <c r="J265" s="8"/>
      <c r="K265" s="41"/>
      <c r="L265" s="17"/>
    </row>
    <row r="266" spans="1:12" x14ac:dyDescent="0.2">
      <c r="A266" t="s">
        <v>2</v>
      </c>
      <c r="B266" s="50"/>
      <c r="C266" s="51"/>
      <c r="D266" s="51"/>
      <c r="E266" s="51"/>
      <c r="F266" s="51"/>
      <c r="G266" s="51"/>
      <c r="H266" s="51"/>
      <c r="I266" s="8">
        <f>SUM(B266:H266)</f>
        <v>0</v>
      </c>
      <c r="J266" s="8"/>
      <c r="K266" s="41"/>
      <c r="L266" s="16"/>
    </row>
    <row r="267" spans="1:12" s="2" customFormat="1" x14ac:dyDescent="0.2">
      <c r="B267" s="22">
        <v>42667</v>
      </c>
      <c r="C267" s="23">
        <v>42668</v>
      </c>
      <c r="D267" s="23">
        <v>42669</v>
      </c>
      <c r="E267" s="23">
        <v>42670</v>
      </c>
      <c r="F267" s="23">
        <v>42671</v>
      </c>
      <c r="G267" s="23">
        <v>42672</v>
      </c>
      <c r="H267" s="23">
        <v>42673</v>
      </c>
      <c r="I267" s="18"/>
      <c r="J267" s="18"/>
      <c r="K267" s="39"/>
      <c r="L267" s="27"/>
    </row>
    <row r="268" spans="1:12" x14ac:dyDescent="0.2">
      <c r="A268" t="s">
        <v>14</v>
      </c>
      <c r="B268" s="50"/>
      <c r="C268" s="51"/>
      <c r="D268" s="51"/>
      <c r="E268" s="51"/>
      <c r="F268" s="51"/>
      <c r="G268" s="51"/>
      <c r="H268" s="51"/>
      <c r="I268" s="8">
        <f>SUM(B268:H268)</f>
        <v>0</v>
      </c>
      <c r="J268" s="8">
        <v>86.301369863013704</v>
      </c>
      <c r="K268" s="41">
        <f>I268-J268</f>
        <v>-86.301369863013704</v>
      </c>
      <c r="L268" s="16"/>
    </row>
    <row r="269" spans="1:12" x14ac:dyDescent="0.2">
      <c r="A269" t="s">
        <v>15</v>
      </c>
      <c r="B269" s="50"/>
      <c r="C269" s="51"/>
      <c r="D269" s="51"/>
      <c r="E269" s="51"/>
      <c r="F269" s="51"/>
      <c r="G269" s="51"/>
      <c r="H269" s="51"/>
      <c r="I269" s="8">
        <f>SUM(B269:H269)</f>
        <v>0</v>
      </c>
      <c r="J269" s="8">
        <v>115.06849315068494</v>
      </c>
      <c r="K269" s="41">
        <f>I269-J269</f>
        <v>-115.06849315068494</v>
      </c>
      <c r="L269" s="17">
        <f>K268+K269+L264</f>
        <v>-863.01369863013701</v>
      </c>
    </row>
    <row r="270" spans="1:12" x14ac:dyDescent="0.2">
      <c r="A270" t="s">
        <v>17</v>
      </c>
      <c r="B270" s="57"/>
      <c r="C270" s="52"/>
      <c r="D270" s="52"/>
      <c r="E270" s="52"/>
      <c r="F270" s="52"/>
      <c r="G270" s="52"/>
      <c r="H270" s="52"/>
      <c r="I270" s="8">
        <f>SUM(B270:H270)</f>
        <v>0</v>
      </c>
      <c r="J270" s="8"/>
      <c r="K270" s="41"/>
      <c r="L270" s="17"/>
    </row>
    <row r="271" spans="1:12" x14ac:dyDescent="0.2">
      <c r="A271" t="s">
        <v>2</v>
      </c>
      <c r="B271" s="50"/>
      <c r="C271" s="51"/>
      <c r="D271" s="51"/>
      <c r="E271" s="51"/>
      <c r="F271" s="51"/>
      <c r="G271" s="51"/>
      <c r="H271" s="51"/>
      <c r="I271" s="8">
        <f>SUM(B271:H271)</f>
        <v>0</v>
      </c>
      <c r="J271" s="8"/>
      <c r="K271" s="41"/>
      <c r="L271" s="16"/>
    </row>
    <row r="272" spans="1:12" x14ac:dyDescent="0.2">
      <c r="A272" s="2"/>
      <c r="B272" s="22">
        <v>42674</v>
      </c>
      <c r="C272" s="10"/>
      <c r="D272" s="28"/>
      <c r="E272" s="28"/>
      <c r="F272" s="28"/>
      <c r="G272" s="28"/>
      <c r="H272" s="28"/>
      <c r="I272" s="18"/>
      <c r="J272" s="18"/>
      <c r="K272" s="39"/>
      <c r="L272" s="27"/>
    </row>
    <row r="273" spans="1:12" s="2" customFormat="1" x14ac:dyDescent="0.2">
      <c r="A273" t="s">
        <v>14</v>
      </c>
      <c r="B273" s="50"/>
      <c r="C273" s="51"/>
      <c r="D273" s="51"/>
      <c r="E273" s="51"/>
      <c r="F273" s="51"/>
      <c r="G273" s="10"/>
      <c r="H273" s="10"/>
      <c r="I273" s="8">
        <f>SUM(B273:H273)</f>
        <v>0</v>
      </c>
      <c r="J273" s="8">
        <v>12.328767123287671</v>
      </c>
      <c r="K273" s="41">
        <f>I273-J273</f>
        <v>-12.328767123287671</v>
      </c>
      <c r="L273" s="16"/>
    </row>
    <row r="274" spans="1:12" x14ac:dyDescent="0.2">
      <c r="A274" t="s">
        <v>15</v>
      </c>
      <c r="B274" s="50"/>
      <c r="C274" s="51"/>
      <c r="D274" s="51"/>
      <c r="E274" s="51"/>
      <c r="F274" s="51"/>
      <c r="G274" s="10"/>
      <c r="H274" s="10"/>
      <c r="I274" s="8">
        <f>SUM(B274:H274)</f>
        <v>0</v>
      </c>
      <c r="J274" s="8">
        <v>16.438356164383563</v>
      </c>
      <c r="K274" s="41">
        <f>I274-J274</f>
        <v>-16.438356164383563</v>
      </c>
      <c r="L274" s="17">
        <f>K273+K274+L269+K276</f>
        <v>-1001.7808219178082</v>
      </c>
    </row>
    <row r="275" spans="1:12" x14ac:dyDescent="0.2">
      <c r="A275" t="s">
        <v>17</v>
      </c>
      <c r="B275" s="57"/>
      <c r="C275" s="52"/>
      <c r="D275" s="52"/>
      <c r="E275" s="52"/>
      <c r="F275" s="52"/>
      <c r="G275" s="8"/>
      <c r="H275" s="8"/>
      <c r="I275" s="34">
        <f>SUM(I251,I255,I260,I265,I270,B275:H275)</f>
        <v>0</v>
      </c>
      <c r="J275" s="30"/>
      <c r="K275" s="42">
        <f>I275-J275</f>
        <v>0</v>
      </c>
      <c r="L275" s="38" t="s">
        <v>17</v>
      </c>
    </row>
    <row r="276" spans="1:12" x14ac:dyDescent="0.2">
      <c r="A276" t="s">
        <v>2</v>
      </c>
      <c r="B276" s="9"/>
      <c r="C276" s="10"/>
      <c r="D276" s="10"/>
      <c r="E276" s="10"/>
      <c r="F276" s="10"/>
      <c r="G276" s="10"/>
      <c r="H276" s="10"/>
      <c r="I276" s="34">
        <f>SUM(I251,I256,I261,I266,I271,B276:H276)</f>
        <v>0</v>
      </c>
      <c r="J276" s="30">
        <v>110</v>
      </c>
      <c r="K276" s="42">
        <f>I276-J276</f>
        <v>-110</v>
      </c>
      <c r="L276" s="35" t="s">
        <v>2</v>
      </c>
    </row>
    <row r="277" spans="1:12" x14ac:dyDescent="0.2">
      <c r="B277" s="9"/>
      <c r="C277" s="10"/>
      <c r="D277" s="10"/>
      <c r="E277" s="10"/>
      <c r="F277" s="10"/>
      <c r="G277" s="10"/>
      <c r="H277" s="29" t="s">
        <v>3</v>
      </c>
      <c r="I277" s="30">
        <f>SUM(I247:I274)</f>
        <v>0</v>
      </c>
      <c r="J277" s="30">
        <v>1001.7808219178083</v>
      </c>
      <c r="K277" s="45">
        <f>SUM(K247:K276)</f>
        <v>-1001.7808219178083</v>
      </c>
      <c r="L277" s="48">
        <f ca="1">IF(G247&lt;$N$1,(K277/(DAYS360($N$1,B272)+1)),(K277/(DAYS360(G247,B272)+1)))*-1</f>
        <v>32.315510384445432</v>
      </c>
    </row>
    <row r="278" spans="1:12" s="2" customFormat="1" x14ac:dyDescent="0.2">
      <c r="B278" s="24"/>
      <c r="C278" s="21">
        <v>42675</v>
      </c>
      <c r="D278" s="21">
        <v>42676</v>
      </c>
      <c r="E278" s="21">
        <v>42677</v>
      </c>
      <c r="F278" s="21">
        <v>42678</v>
      </c>
      <c r="G278" s="21">
        <v>42679</v>
      </c>
      <c r="H278" s="21">
        <v>42680</v>
      </c>
      <c r="I278" s="26"/>
      <c r="J278" s="26"/>
      <c r="K278" s="44"/>
      <c r="L278" s="27"/>
    </row>
    <row r="279" spans="1:12" x14ac:dyDescent="0.2">
      <c r="A279" t="s">
        <v>14</v>
      </c>
      <c r="B279" s="50"/>
      <c r="C279" s="51"/>
      <c r="D279" s="51"/>
      <c r="E279" s="51"/>
      <c r="F279" s="51"/>
      <c r="G279" s="51"/>
      <c r="H279" s="51"/>
      <c r="I279" s="8">
        <f>SUM(B279:H279)</f>
        <v>0</v>
      </c>
      <c r="J279" s="8">
        <v>73.972602739726028</v>
      </c>
      <c r="K279" s="41">
        <f>I279-J279</f>
        <v>-73.972602739726028</v>
      </c>
      <c r="L279" s="16"/>
    </row>
    <row r="280" spans="1:12" x14ac:dyDescent="0.2">
      <c r="A280" t="s">
        <v>15</v>
      </c>
      <c r="B280" s="50"/>
      <c r="C280" s="51"/>
      <c r="D280" s="51"/>
      <c r="E280" s="51"/>
      <c r="F280" s="51"/>
      <c r="G280" s="51"/>
      <c r="H280" s="51"/>
      <c r="I280" s="8">
        <f>SUM(B280:H280)</f>
        <v>0</v>
      </c>
      <c r="J280" s="8">
        <v>98.63013698630138</v>
      </c>
      <c r="K280" s="41">
        <f>I280-J280</f>
        <v>-98.63013698630138</v>
      </c>
      <c r="L280" s="17"/>
    </row>
    <row r="281" spans="1:12" x14ac:dyDescent="0.2">
      <c r="A281" t="s">
        <v>17</v>
      </c>
      <c r="B281" s="57"/>
      <c r="C281" s="52"/>
      <c r="D281" s="52"/>
      <c r="E281" s="52"/>
      <c r="F281" s="52"/>
      <c r="G281" s="52"/>
      <c r="H281" s="52"/>
      <c r="I281" s="8">
        <f>SUM(B281:H281)</f>
        <v>0</v>
      </c>
      <c r="J281" s="8"/>
      <c r="K281" s="41"/>
      <c r="L281" s="17"/>
    </row>
    <row r="282" spans="1:12" x14ac:dyDescent="0.2">
      <c r="A282" t="s">
        <v>2</v>
      </c>
      <c r="B282" s="50"/>
      <c r="C282" s="51"/>
      <c r="D282" s="51"/>
      <c r="E282" s="51"/>
      <c r="F282" s="51"/>
      <c r="G282" s="51"/>
      <c r="H282" s="51"/>
      <c r="I282" s="8">
        <f>SUM(B282:H282)</f>
        <v>0</v>
      </c>
      <c r="J282" s="8"/>
      <c r="K282" s="41"/>
      <c r="L282" s="16"/>
    </row>
    <row r="283" spans="1:12" s="2" customFormat="1" x14ac:dyDescent="0.2">
      <c r="B283" s="22">
        <v>42681</v>
      </c>
      <c r="C283" s="23">
        <v>42682</v>
      </c>
      <c r="D283" s="23">
        <v>42683</v>
      </c>
      <c r="E283" s="23">
        <v>42684</v>
      </c>
      <c r="F283" s="23">
        <v>42685</v>
      </c>
      <c r="G283" s="23">
        <v>42686</v>
      </c>
      <c r="H283" s="23">
        <v>42687</v>
      </c>
      <c r="I283" s="18"/>
      <c r="J283" s="18"/>
      <c r="K283" s="39"/>
      <c r="L283" s="27"/>
    </row>
    <row r="284" spans="1:12" x14ac:dyDescent="0.2">
      <c r="A284" t="s">
        <v>14</v>
      </c>
      <c r="B284" s="50"/>
      <c r="C284" s="51"/>
      <c r="D284" s="51"/>
      <c r="E284" s="51"/>
      <c r="F284" s="51"/>
      <c r="G284" s="51"/>
      <c r="H284" s="51"/>
      <c r="I284" s="8">
        <f>SUM(B284:H284)</f>
        <v>0</v>
      </c>
      <c r="J284" s="8">
        <v>86.301369863013704</v>
      </c>
      <c r="K284" s="41">
        <f>I284-J284</f>
        <v>-86.301369863013704</v>
      </c>
      <c r="L284" s="16"/>
    </row>
    <row r="285" spans="1:12" x14ac:dyDescent="0.2">
      <c r="A285" t="s">
        <v>15</v>
      </c>
      <c r="B285" s="50"/>
      <c r="C285" s="51"/>
      <c r="D285" s="51"/>
      <c r="E285" s="51"/>
      <c r="F285" s="51"/>
      <c r="G285" s="51"/>
      <c r="H285" s="51"/>
      <c r="I285" s="8">
        <f>SUM(B285:H285)</f>
        <v>0</v>
      </c>
      <c r="J285" s="8">
        <v>115.06849315068494</v>
      </c>
      <c r="K285" s="41">
        <f>I285-J285</f>
        <v>-115.06849315068494</v>
      </c>
      <c r="L285" s="17">
        <f>K284+K285+K279+K280</f>
        <v>-373.97260273972609</v>
      </c>
    </row>
    <row r="286" spans="1:12" x14ac:dyDescent="0.2">
      <c r="A286" t="s">
        <v>17</v>
      </c>
      <c r="B286" s="57"/>
      <c r="C286" s="52"/>
      <c r="D286" s="52"/>
      <c r="E286" s="52"/>
      <c r="F286" s="52"/>
      <c r="G286" s="52"/>
      <c r="H286" s="52"/>
      <c r="I286" s="8">
        <f>SUM(B286:H286)</f>
        <v>0</v>
      </c>
      <c r="J286" s="8"/>
      <c r="K286" s="41"/>
      <c r="L286" s="17"/>
    </row>
    <row r="287" spans="1:12" x14ac:dyDescent="0.2">
      <c r="A287" t="s">
        <v>2</v>
      </c>
      <c r="B287" s="50"/>
      <c r="C287" s="51"/>
      <c r="D287" s="51"/>
      <c r="E287" s="51"/>
      <c r="F287" s="51"/>
      <c r="G287" s="51"/>
      <c r="H287" s="51"/>
      <c r="I287" s="8">
        <f>SUM(B287:H287)</f>
        <v>0</v>
      </c>
      <c r="J287" s="8"/>
      <c r="K287" s="41"/>
      <c r="L287" s="16"/>
    </row>
    <row r="288" spans="1:12" s="2" customFormat="1" x14ac:dyDescent="0.2">
      <c r="B288" s="22">
        <v>42688</v>
      </c>
      <c r="C288" s="23">
        <v>42689</v>
      </c>
      <c r="D288" s="23">
        <v>42690</v>
      </c>
      <c r="E288" s="23">
        <v>42691</v>
      </c>
      <c r="F288" s="23">
        <v>42692</v>
      </c>
      <c r="G288" s="23">
        <v>42693</v>
      </c>
      <c r="H288" s="23">
        <v>42694</v>
      </c>
      <c r="I288" s="18"/>
      <c r="J288" s="18"/>
      <c r="K288" s="39"/>
      <c r="L288" s="27"/>
    </row>
    <row r="289" spans="1:12" x14ac:dyDescent="0.2">
      <c r="A289" t="s">
        <v>14</v>
      </c>
      <c r="B289" s="50"/>
      <c r="C289" s="51"/>
      <c r="D289" s="51"/>
      <c r="E289" s="51"/>
      <c r="F289" s="51"/>
      <c r="G289" s="51"/>
      <c r="H289" s="51"/>
      <c r="I289" s="8">
        <f>SUM(B289:H289)</f>
        <v>0</v>
      </c>
      <c r="J289" s="8">
        <v>86.301369863013704</v>
      </c>
      <c r="K289" s="41">
        <f>I289-J289</f>
        <v>-86.301369863013704</v>
      </c>
      <c r="L289" s="16"/>
    </row>
    <row r="290" spans="1:12" x14ac:dyDescent="0.2">
      <c r="A290" t="s">
        <v>15</v>
      </c>
      <c r="B290" s="50"/>
      <c r="C290" s="51"/>
      <c r="D290" s="51"/>
      <c r="E290" s="51"/>
      <c r="F290" s="51"/>
      <c r="G290" s="51"/>
      <c r="H290" s="51"/>
      <c r="I290" s="8">
        <f>SUM(B290:H290)</f>
        <v>0</v>
      </c>
      <c r="J290" s="8">
        <v>115.06849315068494</v>
      </c>
      <c r="K290" s="41">
        <f>I290-J290</f>
        <v>-115.06849315068494</v>
      </c>
      <c r="L290" s="17">
        <f>K289+K290+L285</f>
        <v>-575.34246575342468</v>
      </c>
    </row>
    <row r="291" spans="1:12" x14ac:dyDescent="0.2">
      <c r="A291" t="s">
        <v>17</v>
      </c>
      <c r="B291" s="57"/>
      <c r="C291" s="52"/>
      <c r="D291" s="52"/>
      <c r="E291" s="52"/>
      <c r="F291" s="52"/>
      <c r="G291" s="52"/>
      <c r="H291" s="52"/>
      <c r="I291" s="8">
        <f>SUM(B291:H291)</f>
        <v>0</v>
      </c>
      <c r="J291" s="8"/>
      <c r="K291" s="41"/>
      <c r="L291" s="17"/>
    </row>
    <row r="292" spans="1:12" x14ac:dyDescent="0.2">
      <c r="A292" t="s">
        <v>2</v>
      </c>
      <c r="B292" s="50"/>
      <c r="C292" s="51"/>
      <c r="D292" s="51"/>
      <c r="E292" s="51"/>
      <c r="F292" s="51"/>
      <c r="G292" s="51"/>
      <c r="H292" s="51"/>
      <c r="I292" s="8">
        <f>SUM(B292:H292)</f>
        <v>0</v>
      </c>
      <c r="J292" s="8"/>
      <c r="K292" s="41"/>
      <c r="L292" s="16"/>
    </row>
    <row r="293" spans="1:12" s="2" customFormat="1" x14ac:dyDescent="0.2">
      <c r="B293" s="22">
        <v>42695</v>
      </c>
      <c r="C293" s="23">
        <v>42696</v>
      </c>
      <c r="D293" s="23">
        <v>42697</v>
      </c>
      <c r="E293" s="23">
        <v>42698</v>
      </c>
      <c r="F293" s="23">
        <v>42699</v>
      </c>
      <c r="G293" s="23">
        <v>42700</v>
      </c>
      <c r="H293" s="23">
        <v>42701</v>
      </c>
      <c r="I293" s="18"/>
      <c r="J293" s="18"/>
      <c r="K293" s="39"/>
      <c r="L293" s="27"/>
    </row>
    <row r="294" spans="1:12" x14ac:dyDescent="0.2">
      <c r="A294" t="s">
        <v>14</v>
      </c>
      <c r="B294" s="50"/>
      <c r="C294" s="51"/>
      <c r="D294" s="51"/>
      <c r="E294" s="51"/>
      <c r="F294" s="51"/>
      <c r="G294" s="51"/>
      <c r="H294" s="51"/>
      <c r="I294" s="8">
        <f>SUM(B294:H294)</f>
        <v>0</v>
      </c>
      <c r="J294" s="8">
        <v>86.301369863013704</v>
      </c>
      <c r="K294" s="41">
        <f>I294-J294</f>
        <v>-86.301369863013704</v>
      </c>
      <c r="L294" s="16"/>
    </row>
    <row r="295" spans="1:12" x14ac:dyDescent="0.2">
      <c r="A295" t="s">
        <v>15</v>
      </c>
      <c r="B295" s="50"/>
      <c r="C295" s="51"/>
      <c r="D295" s="51"/>
      <c r="E295" s="51"/>
      <c r="F295" s="51"/>
      <c r="G295" s="51"/>
      <c r="H295" s="51"/>
      <c r="I295" s="8">
        <f>SUM(B295:H295)</f>
        <v>0</v>
      </c>
      <c r="J295" s="8">
        <v>115.06849315068494</v>
      </c>
      <c r="K295" s="41">
        <f>I295-J295</f>
        <v>-115.06849315068494</v>
      </c>
      <c r="L295" s="17">
        <f>K294+K295+L290</f>
        <v>-776.71232876712338</v>
      </c>
    </row>
    <row r="296" spans="1:12" x14ac:dyDescent="0.2">
      <c r="A296" t="s">
        <v>17</v>
      </c>
      <c r="B296" s="57"/>
      <c r="C296" s="52"/>
      <c r="D296" s="52"/>
      <c r="E296" s="52"/>
      <c r="F296" s="52"/>
      <c r="G296" s="52"/>
      <c r="H296" s="52"/>
      <c r="I296" s="8">
        <f>SUM(B296:H296)</f>
        <v>0</v>
      </c>
      <c r="J296" s="8"/>
      <c r="K296" s="41"/>
      <c r="L296" s="17"/>
    </row>
    <row r="297" spans="1:12" x14ac:dyDescent="0.2">
      <c r="A297" t="s">
        <v>2</v>
      </c>
      <c r="B297" s="50"/>
      <c r="C297" s="51"/>
      <c r="D297" s="51"/>
      <c r="E297" s="51"/>
      <c r="F297" s="51"/>
      <c r="G297" s="51"/>
      <c r="H297" s="51"/>
      <c r="I297" s="8">
        <f>SUM(B297:H297)</f>
        <v>0</v>
      </c>
      <c r="J297" s="8"/>
      <c r="K297" s="41"/>
      <c r="L297" s="16"/>
    </row>
    <row r="298" spans="1:12" x14ac:dyDescent="0.2">
      <c r="A298" s="2"/>
      <c r="B298" s="22">
        <v>42702</v>
      </c>
      <c r="C298" s="23">
        <v>42703</v>
      </c>
      <c r="D298" s="23">
        <v>42704</v>
      </c>
      <c r="E298" s="10"/>
      <c r="F298" s="28"/>
      <c r="G298" s="28"/>
      <c r="H298" s="28"/>
      <c r="I298" s="18"/>
      <c r="J298" s="18"/>
      <c r="K298" s="39"/>
      <c r="L298" s="27"/>
    </row>
    <row r="299" spans="1:12" s="2" customFormat="1" x14ac:dyDescent="0.2">
      <c r="A299" t="s">
        <v>14</v>
      </c>
      <c r="B299" s="50"/>
      <c r="C299" s="51"/>
      <c r="D299" s="51"/>
      <c r="E299" s="51"/>
      <c r="F299" s="51"/>
      <c r="G299" s="51"/>
      <c r="H299" s="51"/>
      <c r="I299" s="8">
        <f>SUM(B299:H299)</f>
        <v>0</v>
      </c>
      <c r="J299" s="8">
        <v>36.986301369863014</v>
      </c>
      <c r="K299" s="41">
        <f>I299-J299</f>
        <v>-36.986301369863014</v>
      </c>
      <c r="L299" s="16"/>
    </row>
    <row r="300" spans="1:12" x14ac:dyDescent="0.2">
      <c r="A300" t="s">
        <v>15</v>
      </c>
      <c r="B300" s="50"/>
      <c r="C300" s="51"/>
      <c r="D300" s="51"/>
      <c r="E300" s="51"/>
      <c r="F300" s="51"/>
      <c r="G300" s="51"/>
      <c r="H300" s="51"/>
      <c r="I300" s="8">
        <f>SUM(B300:H300)</f>
        <v>0</v>
      </c>
      <c r="J300" s="8">
        <v>49.31506849315069</v>
      </c>
      <c r="K300" s="41">
        <f>I300-J300</f>
        <v>-49.31506849315069</v>
      </c>
      <c r="L300" s="17">
        <f>K299+K300+L295+K302</f>
        <v>-973.01369863013713</v>
      </c>
    </row>
    <row r="301" spans="1:12" x14ac:dyDescent="0.2">
      <c r="A301" t="s">
        <v>17</v>
      </c>
      <c r="B301" s="57"/>
      <c r="C301" s="52"/>
      <c r="D301" s="52"/>
      <c r="E301" s="52"/>
      <c r="F301" s="52"/>
      <c r="G301" s="52"/>
      <c r="H301" s="52"/>
      <c r="I301" s="34">
        <f>SUM(I281,I286,I291,I296,B301:H301)</f>
        <v>0</v>
      </c>
      <c r="J301" s="30"/>
      <c r="K301" s="42">
        <f>I301-J301</f>
        <v>0</v>
      </c>
      <c r="L301" s="47" t="s">
        <v>17</v>
      </c>
    </row>
    <row r="302" spans="1:12" x14ac:dyDescent="0.2">
      <c r="A302" t="s">
        <v>2</v>
      </c>
      <c r="B302" s="50"/>
      <c r="C302" s="51"/>
      <c r="D302" s="51"/>
      <c r="E302" s="51"/>
      <c r="F302" s="51"/>
      <c r="G302" s="51"/>
      <c r="H302" s="51"/>
      <c r="I302" s="34">
        <f>SUM(I282,I287,I292,I297,B302:H302)</f>
        <v>0</v>
      </c>
      <c r="J302" s="30">
        <v>110</v>
      </c>
      <c r="K302" s="42">
        <f>I302-J302</f>
        <v>-110</v>
      </c>
      <c r="L302" s="35" t="s">
        <v>2</v>
      </c>
    </row>
    <row r="303" spans="1:12" x14ac:dyDescent="0.2">
      <c r="B303" s="9"/>
      <c r="C303" s="10"/>
      <c r="D303" s="10"/>
      <c r="E303" s="10"/>
      <c r="F303" s="10"/>
      <c r="G303" s="10"/>
      <c r="H303" s="29" t="s">
        <v>3</v>
      </c>
      <c r="I303" s="30">
        <f>SUM(I279:I300)</f>
        <v>0</v>
      </c>
      <c r="J303" s="30">
        <v>973.01369863013701</v>
      </c>
      <c r="K303" s="45">
        <f>SUM(K279:K302)</f>
        <v>-973.01369863013701</v>
      </c>
      <c r="L303" s="48">
        <f ca="1">IF(C278&lt;$N$1,(K303/(DAYS360($N$1,D298)+1)),(K303/(DAYS360(C278,D298)+1)))*-1</f>
        <v>32.433789954337904</v>
      </c>
    </row>
    <row r="304" spans="1:12" s="2" customFormat="1" x14ac:dyDescent="0.2">
      <c r="B304" s="24"/>
      <c r="C304" s="25"/>
      <c r="D304" s="25"/>
      <c r="E304" s="21">
        <v>42705</v>
      </c>
      <c r="F304" s="21">
        <v>42706</v>
      </c>
      <c r="G304" s="21">
        <v>42707</v>
      </c>
      <c r="H304" s="21">
        <v>42708</v>
      </c>
      <c r="I304" s="26"/>
      <c r="J304" s="26"/>
      <c r="K304" s="44"/>
      <c r="L304" s="27"/>
    </row>
    <row r="305" spans="1:12" x14ac:dyDescent="0.2">
      <c r="A305" t="s">
        <v>14</v>
      </c>
      <c r="B305" s="50"/>
      <c r="C305" s="51"/>
      <c r="D305" s="51"/>
      <c r="E305" s="51"/>
      <c r="F305" s="51"/>
      <c r="G305" s="51"/>
      <c r="H305" s="51"/>
      <c r="I305" s="8">
        <f>SUM(B305:H305)</f>
        <v>0</v>
      </c>
      <c r="J305" s="8">
        <v>49.315068493150683</v>
      </c>
      <c r="K305" s="41">
        <f>I305-J305</f>
        <v>-49.315068493150683</v>
      </c>
      <c r="L305" s="16"/>
    </row>
    <row r="306" spans="1:12" x14ac:dyDescent="0.2">
      <c r="A306" t="s">
        <v>15</v>
      </c>
      <c r="B306" s="50"/>
      <c r="C306" s="51"/>
      <c r="D306" s="51"/>
      <c r="E306" s="51"/>
      <c r="F306" s="51"/>
      <c r="G306" s="51"/>
      <c r="H306" s="51"/>
      <c r="I306" s="8">
        <f>SUM(B306:H306)</f>
        <v>0</v>
      </c>
      <c r="J306" s="8">
        <v>65.753424657534254</v>
      </c>
      <c r="K306" s="41">
        <f>I306-J306</f>
        <v>-65.753424657534254</v>
      </c>
      <c r="L306" s="17"/>
    </row>
    <row r="307" spans="1:12" x14ac:dyDescent="0.2">
      <c r="A307" t="s">
        <v>17</v>
      </c>
      <c r="B307" s="57"/>
      <c r="C307" s="52"/>
      <c r="D307" s="52"/>
      <c r="E307" s="52"/>
      <c r="F307" s="52"/>
      <c r="G307" s="52"/>
      <c r="H307" s="52"/>
      <c r="I307" s="8">
        <f>SUM(B307:H307)</f>
        <v>0</v>
      </c>
      <c r="J307" s="8"/>
      <c r="K307" s="41"/>
      <c r="L307" s="17"/>
    </row>
    <row r="308" spans="1:12" x14ac:dyDescent="0.2">
      <c r="A308" t="s">
        <v>2</v>
      </c>
      <c r="B308" s="50"/>
      <c r="C308" s="51"/>
      <c r="D308" s="51"/>
      <c r="E308" s="51"/>
      <c r="F308" s="51"/>
      <c r="G308" s="51"/>
      <c r="H308" s="51"/>
      <c r="I308" s="8">
        <f>SUM(B308:H308)</f>
        <v>0</v>
      </c>
      <c r="J308" s="8"/>
      <c r="K308" s="41"/>
      <c r="L308" s="16"/>
    </row>
    <row r="309" spans="1:12" s="2" customFormat="1" x14ac:dyDescent="0.2">
      <c r="B309" s="22">
        <v>42709</v>
      </c>
      <c r="C309" s="23">
        <v>42710</v>
      </c>
      <c r="D309" s="23">
        <v>42711</v>
      </c>
      <c r="E309" s="23">
        <v>42712</v>
      </c>
      <c r="F309" s="23">
        <v>42713</v>
      </c>
      <c r="G309" s="23">
        <v>42714</v>
      </c>
      <c r="H309" s="23">
        <v>42715</v>
      </c>
      <c r="I309" s="18"/>
      <c r="J309" s="18"/>
      <c r="K309" s="39"/>
      <c r="L309" s="27"/>
    </row>
    <row r="310" spans="1:12" x14ac:dyDescent="0.2">
      <c r="A310" t="s">
        <v>14</v>
      </c>
      <c r="B310" s="50"/>
      <c r="C310" s="51"/>
      <c r="D310" s="51"/>
      <c r="E310" s="51"/>
      <c r="F310" s="51"/>
      <c r="G310" s="51"/>
      <c r="H310" s="51"/>
      <c r="I310" s="8">
        <f>SUM(B310:H310)</f>
        <v>0</v>
      </c>
      <c r="J310" s="8">
        <v>86.301369863013704</v>
      </c>
      <c r="K310" s="41">
        <f>I310-J310</f>
        <v>-86.301369863013704</v>
      </c>
      <c r="L310" s="16"/>
    </row>
    <row r="311" spans="1:12" x14ac:dyDescent="0.2">
      <c r="A311" t="s">
        <v>15</v>
      </c>
      <c r="B311" s="50"/>
      <c r="C311" s="51"/>
      <c r="D311" s="51"/>
      <c r="E311" s="51"/>
      <c r="F311" s="51"/>
      <c r="G311" s="51"/>
      <c r="H311" s="51"/>
      <c r="I311" s="8">
        <f>SUM(B311:H311)</f>
        <v>0</v>
      </c>
      <c r="J311" s="8">
        <v>115.06849315068494</v>
      </c>
      <c r="K311" s="41">
        <f>I311-J311</f>
        <v>-115.06849315068494</v>
      </c>
      <c r="L311" s="17">
        <f>K310+K311+K305+K306</f>
        <v>-316.43835616438355</v>
      </c>
    </row>
    <row r="312" spans="1:12" x14ac:dyDescent="0.2">
      <c r="A312" t="s">
        <v>17</v>
      </c>
      <c r="B312" s="57"/>
      <c r="C312" s="52"/>
      <c r="D312" s="52"/>
      <c r="E312" s="52"/>
      <c r="F312" s="52"/>
      <c r="G312" s="52"/>
      <c r="H312" s="52"/>
      <c r="I312" s="8">
        <f>SUM(B312:H312)</f>
        <v>0</v>
      </c>
      <c r="J312" s="8"/>
      <c r="K312" s="41"/>
      <c r="L312" s="17"/>
    </row>
    <row r="313" spans="1:12" x14ac:dyDescent="0.2">
      <c r="A313" t="s">
        <v>2</v>
      </c>
      <c r="B313" s="50"/>
      <c r="C313" s="51"/>
      <c r="D313" s="51"/>
      <c r="E313" s="51"/>
      <c r="F313" s="51"/>
      <c r="G313" s="51"/>
      <c r="H313" s="51"/>
      <c r="I313" s="8">
        <f>SUM(B313:H313)</f>
        <v>0</v>
      </c>
      <c r="J313" s="8"/>
      <c r="K313" s="41"/>
      <c r="L313" s="16"/>
    </row>
    <row r="314" spans="1:12" s="2" customFormat="1" x14ac:dyDescent="0.2">
      <c r="B314" s="22">
        <v>42716</v>
      </c>
      <c r="C314" s="23">
        <v>42717</v>
      </c>
      <c r="D314" s="23">
        <v>42718</v>
      </c>
      <c r="E314" s="23">
        <v>42719</v>
      </c>
      <c r="F314" s="23">
        <v>42720</v>
      </c>
      <c r="G314" s="23">
        <v>42721</v>
      </c>
      <c r="H314" s="23">
        <v>42722</v>
      </c>
      <c r="I314" s="18"/>
      <c r="J314" s="18"/>
      <c r="K314" s="39"/>
      <c r="L314" s="27"/>
    </row>
    <row r="315" spans="1:12" x14ac:dyDescent="0.2">
      <c r="A315" t="s">
        <v>14</v>
      </c>
      <c r="B315" s="50"/>
      <c r="C315" s="51"/>
      <c r="D315" s="51"/>
      <c r="E315" s="51"/>
      <c r="F315" s="51"/>
      <c r="G315" s="51"/>
      <c r="H315" s="51"/>
      <c r="I315" s="8">
        <f>SUM(B315:H315)</f>
        <v>0</v>
      </c>
      <c r="J315" s="8">
        <v>86.301369863013704</v>
      </c>
      <c r="K315" s="41">
        <f>I315-J315</f>
        <v>-86.301369863013704</v>
      </c>
      <c r="L315" s="16"/>
    </row>
    <row r="316" spans="1:12" x14ac:dyDescent="0.2">
      <c r="A316" t="s">
        <v>15</v>
      </c>
      <c r="B316" s="50"/>
      <c r="C316" s="51"/>
      <c r="D316" s="51"/>
      <c r="E316" s="51"/>
      <c r="F316" s="51"/>
      <c r="G316" s="51"/>
      <c r="H316" s="51"/>
      <c r="I316" s="8">
        <f>SUM(B316:H316)</f>
        <v>0</v>
      </c>
      <c r="J316" s="8">
        <v>115.06849315068494</v>
      </c>
      <c r="K316" s="41">
        <f>I316-J316</f>
        <v>-115.06849315068494</v>
      </c>
      <c r="L316" s="17">
        <f>K315+K316+L311</f>
        <v>-517.80821917808225</v>
      </c>
    </row>
    <row r="317" spans="1:12" x14ac:dyDescent="0.2">
      <c r="A317" t="s">
        <v>17</v>
      </c>
      <c r="B317" s="57"/>
      <c r="C317" s="52"/>
      <c r="D317" s="52"/>
      <c r="E317" s="52"/>
      <c r="F317" s="52"/>
      <c r="G317" s="52"/>
      <c r="H317" s="52"/>
      <c r="I317" s="8">
        <f>SUM(B317:H317)</f>
        <v>0</v>
      </c>
      <c r="J317" s="8"/>
      <c r="K317" s="41"/>
      <c r="L317" s="17"/>
    </row>
    <row r="318" spans="1:12" x14ac:dyDescent="0.2">
      <c r="A318" t="s">
        <v>2</v>
      </c>
      <c r="B318" s="50"/>
      <c r="C318" s="51"/>
      <c r="D318" s="51"/>
      <c r="E318" s="51"/>
      <c r="F318" s="51"/>
      <c r="G318" s="51"/>
      <c r="H318" s="51"/>
      <c r="I318" s="8">
        <f>SUM(B318:H318)</f>
        <v>0</v>
      </c>
      <c r="J318" s="8"/>
      <c r="K318" s="41"/>
      <c r="L318" s="16"/>
    </row>
    <row r="319" spans="1:12" s="2" customFormat="1" x14ac:dyDescent="0.2">
      <c r="B319" s="22">
        <v>42723</v>
      </c>
      <c r="C319" s="23">
        <v>42724</v>
      </c>
      <c r="D319" s="23">
        <v>42725</v>
      </c>
      <c r="E319" s="23">
        <v>42726</v>
      </c>
      <c r="F319" s="23">
        <v>42727</v>
      </c>
      <c r="G319" s="23">
        <v>42728</v>
      </c>
      <c r="H319" s="23">
        <v>42729</v>
      </c>
      <c r="I319" s="18"/>
      <c r="J319" s="18"/>
      <c r="K319" s="39"/>
      <c r="L319" s="27"/>
    </row>
    <row r="320" spans="1:12" x14ac:dyDescent="0.2">
      <c r="A320" t="s">
        <v>14</v>
      </c>
      <c r="B320" s="50"/>
      <c r="C320" s="51"/>
      <c r="D320" s="51"/>
      <c r="E320" s="51"/>
      <c r="F320" s="51"/>
      <c r="G320" s="51"/>
      <c r="H320" s="51"/>
      <c r="I320" s="8">
        <f>SUM(B320:H320)</f>
        <v>0</v>
      </c>
      <c r="J320" s="8">
        <v>86.301369863013704</v>
      </c>
      <c r="K320" s="41">
        <f>I320-J320</f>
        <v>-86.301369863013704</v>
      </c>
      <c r="L320" s="16"/>
    </row>
    <row r="321" spans="1:12" x14ac:dyDescent="0.2">
      <c r="A321" t="s">
        <v>15</v>
      </c>
      <c r="B321" s="50"/>
      <c r="C321" s="51"/>
      <c r="D321" s="51"/>
      <c r="E321" s="51"/>
      <c r="F321" s="51"/>
      <c r="G321" s="51"/>
      <c r="H321" s="51"/>
      <c r="I321" s="8">
        <f>SUM(B321:H321)</f>
        <v>0</v>
      </c>
      <c r="J321" s="8">
        <v>115.06849315068494</v>
      </c>
      <c r="K321" s="41">
        <f>I321-J321</f>
        <v>-115.06849315068494</v>
      </c>
      <c r="L321" s="17">
        <f>K320+K321+L316</f>
        <v>-719.17808219178096</v>
      </c>
    </row>
    <row r="322" spans="1:12" x14ac:dyDescent="0.2">
      <c r="A322" t="s">
        <v>17</v>
      </c>
      <c r="B322" s="57"/>
      <c r="C322" s="52"/>
      <c r="D322" s="52"/>
      <c r="E322" s="52"/>
      <c r="F322" s="52"/>
      <c r="G322" s="52"/>
      <c r="H322" s="52"/>
      <c r="I322" s="8">
        <f>SUM(B322:H322)</f>
        <v>0</v>
      </c>
      <c r="J322" s="8"/>
      <c r="K322" s="41"/>
      <c r="L322" s="17"/>
    </row>
    <row r="323" spans="1:12" x14ac:dyDescent="0.2">
      <c r="A323" t="s">
        <v>2</v>
      </c>
      <c r="B323" s="50"/>
      <c r="C323" s="51"/>
      <c r="D323" s="51"/>
      <c r="E323" s="51"/>
      <c r="F323" s="51"/>
      <c r="G323" s="51"/>
      <c r="H323" s="51"/>
      <c r="I323" s="8">
        <f>SUM(B323:H323)</f>
        <v>0</v>
      </c>
      <c r="J323" s="8"/>
      <c r="K323" s="41"/>
      <c r="L323" s="16"/>
    </row>
    <row r="324" spans="1:12" x14ac:dyDescent="0.2">
      <c r="A324" s="2"/>
      <c r="B324" s="22">
        <v>42730</v>
      </c>
      <c r="C324" s="23">
        <v>42731</v>
      </c>
      <c r="D324" s="23">
        <v>42732</v>
      </c>
      <c r="E324" s="23">
        <v>42733</v>
      </c>
      <c r="F324" s="23">
        <v>42734</v>
      </c>
      <c r="G324" s="23">
        <v>42735</v>
      </c>
      <c r="H324" s="10"/>
      <c r="I324" s="18"/>
      <c r="J324" s="18"/>
      <c r="K324" s="39"/>
      <c r="L324" s="27"/>
    </row>
    <row r="325" spans="1:12" x14ac:dyDescent="0.2">
      <c r="A325" t="s">
        <v>14</v>
      </c>
      <c r="B325" s="50"/>
      <c r="C325" s="51"/>
      <c r="D325" s="51"/>
      <c r="E325" s="51"/>
      <c r="F325" s="51"/>
      <c r="G325" s="51"/>
      <c r="H325" s="51"/>
      <c r="I325" s="8">
        <f>SUM(B325:H325)</f>
        <v>0</v>
      </c>
      <c r="J325" s="8">
        <v>73.972602739726028</v>
      </c>
      <c r="K325" s="41">
        <f>I325-J325</f>
        <v>-73.972602739726028</v>
      </c>
      <c r="L325" s="16"/>
    </row>
    <row r="326" spans="1:12" x14ac:dyDescent="0.2">
      <c r="A326" t="s">
        <v>15</v>
      </c>
      <c r="B326" s="50"/>
      <c r="C326" s="51"/>
      <c r="D326" s="51"/>
      <c r="E326" s="51"/>
      <c r="F326" s="51"/>
      <c r="G326" s="51"/>
      <c r="H326" s="51"/>
      <c r="I326" s="8">
        <f>SUM(B326:H326)</f>
        <v>0</v>
      </c>
      <c r="J326" s="8">
        <v>98.63013698630138</v>
      </c>
      <c r="K326" s="41">
        <f>I326-J326</f>
        <v>-98.63013698630138</v>
      </c>
      <c r="L326" s="17">
        <f>K325+K326+L321+K328</f>
        <v>-1001.7808219178083</v>
      </c>
    </row>
    <row r="327" spans="1:12" x14ac:dyDescent="0.2">
      <c r="A327" t="s">
        <v>17</v>
      </c>
      <c r="B327" s="57"/>
      <c r="C327" s="52"/>
      <c r="D327" s="52"/>
      <c r="E327" s="52"/>
      <c r="F327" s="52"/>
      <c r="G327" s="52"/>
      <c r="H327" s="52"/>
      <c r="I327" s="34">
        <f>SUM(I307,I312,I317,I322,B327:H327)</f>
        <v>0</v>
      </c>
      <c r="J327" s="30"/>
      <c r="K327" s="42">
        <f>I327-J327</f>
        <v>0</v>
      </c>
      <c r="L327" s="38" t="s">
        <v>17</v>
      </c>
    </row>
    <row r="328" spans="1:12" x14ac:dyDescent="0.2">
      <c r="A328" t="s">
        <v>2</v>
      </c>
      <c r="B328" s="50"/>
      <c r="C328" s="51"/>
      <c r="D328" s="51"/>
      <c r="E328" s="51"/>
      <c r="F328" s="51"/>
      <c r="G328" s="51"/>
      <c r="H328" s="51"/>
      <c r="I328" s="34">
        <f>SUM(I308,I313,I318,I323,B328:H328)</f>
        <v>0</v>
      </c>
      <c r="J328" s="30">
        <v>110</v>
      </c>
      <c r="K328" s="42">
        <f>I328-J328</f>
        <v>-110</v>
      </c>
      <c r="L328" s="35" t="s">
        <v>2</v>
      </c>
    </row>
    <row r="329" spans="1:12" x14ac:dyDescent="0.2">
      <c r="B329" s="11"/>
      <c r="C329" s="5"/>
      <c r="D329" s="5"/>
      <c r="E329" s="5"/>
      <c r="F329" s="5"/>
      <c r="G329" s="5"/>
      <c r="H329" s="29" t="s">
        <v>3</v>
      </c>
      <c r="I329" s="30">
        <f>SUM(I305:I326)</f>
        <v>0</v>
      </c>
      <c r="J329" s="30">
        <v>1001.7808219178083</v>
      </c>
      <c r="K329" s="45">
        <f>SUM(K305:K328)</f>
        <v>-1001.7808219178083</v>
      </c>
      <c r="L329" s="48">
        <f ca="1">IF(E304&lt;$N$1,(K329/(DAYS360($N$1,G324)+1)),(K329/(DAYS360(E304,G324)+1)))*-1</f>
        <v>32.315510384445432</v>
      </c>
    </row>
    <row r="330" spans="1:12" x14ac:dyDescent="0.2">
      <c r="H330" s="31" t="s">
        <v>12</v>
      </c>
      <c r="I330" s="32">
        <f>SUM(I329,I303,I277,I246,I220,I194,I163,I137,I106,I80,I54,I28)</f>
        <v>0</v>
      </c>
      <c r="J330" s="33">
        <v>12027.123287671233</v>
      </c>
      <c r="K330" s="45">
        <f>SUM(K329,K303,K277,K246,K220,K194,K163,K137,K106,K80,K54,K28)</f>
        <v>-12027.123287671233</v>
      </c>
      <c r="L330" s="48">
        <f ca="1">K330/(DAYS360($N$1,G324)+1)*-1</f>
        <v>126.60129776496035</v>
      </c>
    </row>
  </sheetData>
  <mergeCells count="1">
    <mergeCell ref="B1:L1"/>
  </mergeCells>
  <conditionalFormatting sqref="K17:K20 K33:K36 K38:K41 K43:K46 K48:K51 K53:K57 K59:K62 K64:K67 K69:K72 K74:K77 K79:K83 K85:K88 K90:K93 K95:K98 K100:K103 K116:K119 K121:K124 K126:K129 K131:K134 K136:K140 K142:K145 K147:K150 K152:K155 K157:K160 K162:K166 K168:K171 K173:K176 K178:K181 K183:K186 K193:K197 K188:K191 K199:K202 K204:K207 K209:K212 K214:K217 K219:K223 K225:K228 K230:K233 K235:K238 K240:K243 K245:K249 K251:K254 K256:K259 K261:K264 K266:K269 K271:K274 K276:K280 K282:K285 K287:K290 K292:K295 K297:K300 K302:K306 K308:K311 K313:K316 K318:K321 K323:K326 K328:K354 K22:K31 K105:K106 K112:K114 K3:K15">
    <cfRule type="cellIs" dxfId="52" priority="53" operator="greaterThan">
      <formula>0</formula>
    </cfRule>
  </conditionalFormatting>
  <conditionalFormatting sqref="L17:L20 L33:L36 L38:L41 L43:L46 L48:L51 L59:L62 L64:L67 L69:L72 L74:L77 L79 L85:L88 L90:L93 L95:L98 L100:L103 L105 L116:L119 L121:L124 L126:L129 L131:L134 L136 L142:L145 L147:L150 L152:L155 L157:L160 L162 L168:L171 L173:L176 L178:L181 L183:L186 L193 L188:L191 L199:L202 L204:L207 L209:L212 L214:L217 L219 L225:L228 L230:L233 L235:L238 L240:L243 L245 L251:L254 L256:L259 L261:L264 L266:L269 L271:L274 L276 L282:L285 L287:L290 L292:L295 L297:L300 L302 L308:L311 L313:L316 L318:L321 L323:L326 L22:L27 L53 L55:L57 L29:L31 L81:L83 L138:L140 L164:L166 L195:L197 L221:L223 L247:L249 L278:L280 L304:L306 L112:L114 L3:L15">
    <cfRule type="containsText" dxfId="51" priority="51" operator="containsText" text="Gas">
      <formula>NOT(ISERROR(SEARCH("Gas",L3)))</formula>
    </cfRule>
    <cfRule type="cellIs" dxfId="50" priority="52" operator="greaterThan">
      <formula>0</formula>
    </cfRule>
  </conditionalFormatting>
  <conditionalFormatting sqref="K16">
    <cfRule type="cellIs" dxfId="49" priority="50" operator="greaterThan">
      <formula>0</formula>
    </cfRule>
  </conditionalFormatting>
  <conditionalFormatting sqref="L16">
    <cfRule type="containsText" dxfId="48" priority="48" operator="containsText" text="Gas">
      <formula>NOT(ISERROR(SEARCH("Gas",L16)))</formula>
    </cfRule>
    <cfRule type="cellIs" dxfId="47" priority="49" operator="greaterThan">
      <formula>0</formula>
    </cfRule>
  </conditionalFormatting>
  <conditionalFormatting sqref="K182 K177 K172 K167 K156 K151 K146 K141 K130 K125 K120 K115 K99 K94 K89 K84 K73 K68 K63 K58 K47 K42 K37 K32 K21">
    <cfRule type="cellIs" dxfId="46" priority="47" operator="greaterThan">
      <formula>0</formula>
    </cfRule>
  </conditionalFormatting>
  <conditionalFormatting sqref="L182 L177 L172 L167 L156 L151 L146 L141 L130 L125 L120 L115 L99 L94 L89 L84 L73 L68 L63 L58 L47 L42 L37 L32 L21">
    <cfRule type="containsText" dxfId="45" priority="45" operator="containsText" text="Gas">
      <formula>NOT(ISERROR(SEARCH("Gas",L21)))</formula>
    </cfRule>
    <cfRule type="cellIs" dxfId="44" priority="46" operator="greaterThan">
      <formula>0</formula>
    </cfRule>
  </conditionalFormatting>
  <conditionalFormatting sqref="K187">
    <cfRule type="cellIs" dxfId="43" priority="44" operator="greaterThan">
      <formula>0</formula>
    </cfRule>
  </conditionalFormatting>
  <conditionalFormatting sqref="L187">
    <cfRule type="containsText" dxfId="42" priority="42" operator="containsText" text="Gas">
      <formula>NOT(ISERROR(SEARCH("Gas",L187)))</formula>
    </cfRule>
    <cfRule type="cellIs" dxfId="41" priority="43" operator="greaterThan">
      <formula>0</formula>
    </cfRule>
  </conditionalFormatting>
  <conditionalFormatting sqref="K322 K317 K312 K307 K296 K291 K286 K281 K270 K265 K260 K255 K250 K239 K234 K229 K224 K218 K213 K208 K203 K198">
    <cfRule type="cellIs" dxfId="40" priority="41" operator="greaterThan">
      <formula>0</formula>
    </cfRule>
  </conditionalFormatting>
  <conditionalFormatting sqref="L322 L317 L312 L307 L296 L291 L286 L281 L270 L265 L260 L255 L250 L239 L234 L229 L224 L218 L213 L208 L203 L198">
    <cfRule type="containsText" dxfId="39" priority="39" operator="containsText" text="Gas">
      <formula>NOT(ISERROR(SEARCH("Gas",L198)))</formula>
    </cfRule>
    <cfRule type="cellIs" dxfId="38" priority="40" operator="greaterThan">
      <formula>0</formula>
    </cfRule>
  </conditionalFormatting>
  <conditionalFormatting sqref="K52">
    <cfRule type="cellIs" dxfId="37" priority="38" operator="greaterThan">
      <formula>0</formula>
    </cfRule>
  </conditionalFormatting>
  <conditionalFormatting sqref="L52">
    <cfRule type="containsText" dxfId="36" priority="36" operator="containsText" text="Gas">
      <formula>NOT(ISERROR(SEARCH("Gas",L52)))</formula>
    </cfRule>
    <cfRule type="cellIs" dxfId="35" priority="37" operator="greaterThan">
      <formula>0</formula>
    </cfRule>
  </conditionalFormatting>
  <conditionalFormatting sqref="K78">
    <cfRule type="cellIs" dxfId="34" priority="35" operator="greaterThan">
      <formula>0</formula>
    </cfRule>
  </conditionalFormatting>
  <conditionalFormatting sqref="L78">
    <cfRule type="containsText" dxfId="33" priority="33" operator="containsText" text="Gas">
      <formula>NOT(ISERROR(SEARCH("Gas",L78)))</formula>
    </cfRule>
    <cfRule type="cellIs" dxfId="32" priority="34" operator="greaterThan">
      <formula>0</formula>
    </cfRule>
  </conditionalFormatting>
  <conditionalFormatting sqref="K104">
    <cfRule type="cellIs" dxfId="31" priority="32" operator="greaterThan">
      <formula>0</formula>
    </cfRule>
  </conditionalFormatting>
  <conditionalFormatting sqref="L104">
    <cfRule type="containsText" dxfId="30" priority="30" operator="containsText" text="Gas">
      <formula>NOT(ISERROR(SEARCH("Gas",L104)))</formula>
    </cfRule>
    <cfRule type="cellIs" dxfId="29" priority="31" operator="greaterThan">
      <formula>0</formula>
    </cfRule>
  </conditionalFormatting>
  <conditionalFormatting sqref="K135">
    <cfRule type="cellIs" dxfId="28" priority="29" operator="greaterThan">
      <formula>0</formula>
    </cfRule>
  </conditionalFormatting>
  <conditionalFormatting sqref="L135">
    <cfRule type="containsText" dxfId="27" priority="27" operator="containsText" text="Gas">
      <formula>NOT(ISERROR(SEARCH("Gas",L135)))</formula>
    </cfRule>
    <cfRule type="cellIs" dxfId="26" priority="28" operator="greaterThan">
      <formula>0</formula>
    </cfRule>
  </conditionalFormatting>
  <conditionalFormatting sqref="K161">
    <cfRule type="cellIs" dxfId="25" priority="26" operator="greaterThan">
      <formula>0</formula>
    </cfRule>
  </conditionalFormatting>
  <conditionalFormatting sqref="L161">
    <cfRule type="containsText" dxfId="24" priority="24" operator="containsText" text="Gas">
      <formula>NOT(ISERROR(SEARCH("Gas",L161)))</formula>
    </cfRule>
    <cfRule type="cellIs" dxfId="23" priority="25" operator="greaterThan">
      <formula>0</formula>
    </cfRule>
  </conditionalFormatting>
  <conditionalFormatting sqref="K192">
    <cfRule type="cellIs" dxfId="22" priority="23" operator="greaterThan">
      <formula>0</formula>
    </cfRule>
  </conditionalFormatting>
  <conditionalFormatting sqref="L192">
    <cfRule type="containsText" dxfId="21" priority="21" operator="containsText" text="Gas">
      <formula>NOT(ISERROR(SEARCH("Gas",L192)))</formula>
    </cfRule>
    <cfRule type="cellIs" dxfId="20" priority="22" operator="greaterThan">
      <formula>0</formula>
    </cfRule>
  </conditionalFormatting>
  <conditionalFormatting sqref="K244">
    <cfRule type="cellIs" dxfId="19" priority="20" operator="greaterThan">
      <formula>0</formula>
    </cfRule>
  </conditionalFormatting>
  <conditionalFormatting sqref="L244">
    <cfRule type="containsText" dxfId="18" priority="18" operator="containsText" text="Gas">
      <formula>NOT(ISERROR(SEARCH("Gas",L244)))</formula>
    </cfRule>
    <cfRule type="cellIs" dxfId="17" priority="19" operator="greaterThan">
      <formula>0</formula>
    </cfRule>
  </conditionalFormatting>
  <conditionalFormatting sqref="K275">
    <cfRule type="cellIs" dxfId="16" priority="17" operator="greaterThan">
      <formula>0</formula>
    </cfRule>
  </conditionalFormatting>
  <conditionalFormatting sqref="L275">
    <cfRule type="containsText" dxfId="15" priority="15" operator="containsText" text="Gas">
      <formula>NOT(ISERROR(SEARCH("Gas",L275)))</formula>
    </cfRule>
    <cfRule type="cellIs" dxfId="14" priority="16" operator="greaterThan">
      <formula>0</formula>
    </cfRule>
  </conditionalFormatting>
  <conditionalFormatting sqref="K301">
    <cfRule type="cellIs" dxfId="13" priority="14" operator="greaterThan">
      <formula>0</formula>
    </cfRule>
  </conditionalFormatting>
  <conditionalFormatting sqref="L301">
    <cfRule type="containsText" dxfId="12" priority="12" operator="containsText" text="Gas">
      <formula>NOT(ISERROR(SEARCH("Gas",L301)))</formula>
    </cfRule>
    <cfRule type="cellIs" dxfId="11" priority="13" operator="greaterThan">
      <formula>0</formula>
    </cfRule>
  </conditionalFormatting>
  <conditionalFormatting sqref="K327">
    <cfRule type="cellIs" dxfId="10" priority="11" operator="greaterThan">
      <formula>0</formula>
    </cfRule>
  </conditionalFormatting>
  <conditionalFormatting sqref="L327">
    <cfRule type="containsText" dxfId="9" priority="9" operator="containsText" text="Gas">
      <formula>NOT(ISERROR(SEARCH("Gas",L327)))</formula>
    </cfRule>
    <cfRule type="cellIs" dxfId="8" priority="10" operator="greaterThan">
      <formula>0</formula>
    </cfRule>
  </conditionalFormatting>
  <conditionalFormatting sqref="L55:L79 L29:L53 L81:L105 L138:L162 L164:L193 L195:L219 L221:L245 L247:L276 L278:L302 L304:L328 L331:L1048576 L112:L136 L2:L27">
    <cfRule type="containsText" dxfId="7" priority="8" operator="containsText" text="Misc Expenses">
      <formula>NOT(ISERROR(SEARCH("Misc Expenses",L2)))</formula>
    </cfRule>
  </conditionalFormatting>
  <conditionalFormatting sqref="K111 K107:K109">
    <cfRule type="cellIs" dxfId="6" priority="7" operator="greaterThan">
      <formula>0</formula>
    </cfRule>
  </conditionalFormatting>
  <conditionalFormatting sqref="L111 L107:L109">
    <cfRule type="containsText" dxfId="5" priority="5" operator="containsText" text="Gas">
      <formula>NOT(ISERROR(SEARCH("Gas",L107)))</formula>
    </cfRule>
    <cfRule type="cellIs" dxfId="4" priority="6" operator="greaterThan">
      <formula>0</formula>
    </cfRule>
  </conditionalFormatting>
  <conditionalFormatting sqref="K110">
    <cfRule type="cellIs" dxfId="3" priority="4" operator="greaterThan">
      <formula>0</formula>
    </cfRule>
  </conditionalFormatting>
  <conditionalFormatting sqref="L110">
    <cfRule type="containsText" dxfId="2" priority="2" operator="containsText" text="Gas">
      <formula>NOT(ISERROR(SEARCH("Gas",L110)))</formula>
    </cfRule>
    <cfRule type="cellIs" dxfId="1" priority="3" operator="greaterThan">
      <formula>0</formula>
    </cfRule>
  </conditionalFormatting>
  <conditionalFormatting sqref="L107:L111">
    <cfRule type="containsText" dxfId="0" priority="1" operator="containsText" text="Misc Expenses">
      <formula>NOT(ISERROR(SEARCH("Misc Expenses",L107)))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zoomScale="80" zoomScaleNormal="80" zoomScalePageLayoutView="80" workbookViewId="0"/>
  </sheetViews>
  <sheetFormatPr baseColWidth="10" defaultRowHeight="15" x14ac:dyDescent="0.2"/>
  <cols>
    <col min="2" max="5" width="19.66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Cashflow</vt:lpstr>
      <vt:lpstr>Expense Data</vt:lpstr>
    </vt:vector>
  </TitlesOfParts>
  <Company>Wells Fargo &amp;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Suk, Greg</dc:creator>
  <cp:lastModifiedBy>Microsoft Office User</cp:lastModifiedBy>
  <dcterms:created xsi:type="dcterms:W3CDTF">2013-08-19T13:43:04Z</dcterms:created>
  <dcterms:modified xsi:type="dcterms:W3CDTF">2016-09-27T15:24:04Z</dcterms:modified>
</cp:coreProperties>
</file>